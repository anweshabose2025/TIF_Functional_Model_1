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Shared\Documents\Share\Groups\Finance\Public Finance\Bonds\Bond Modeling\Bond Template\"/>
    </mc:Choice>
  </mc:AlternateContent>
  <xr:revisionPtr revIDLastSave="0" documentId="13_ncr:1_{03A6DA7F-FE60-4921-B16B-07B2FE9687AC}" xr6:coauthVersionLast="47" xr6:coauthVersionMax="47" xr10:uidLastSave="{00000000-0000-0000-0000-000000000000}"/>
  <bookViews>
    <workbookView xWindow="-120" yWindow="-120" windowWidth="19440" windowHeight="11040" tabRatio="850" xr2:uid="{D88B4D3D-AB31-4AE5-BBC3-1D02D5049CB1}"/>
  </bookViews>
  <sheets>
    <sheet name="Assumptions" sheetId="1" r:id="rId1"/>
    <sheet name="Calculations" sheetId="3" r:id="rId2"/>
    <sheet name="Revenue Summary" sheetId="4" r:id="rId3"/>
  </sheets>
  <definedNames>
    <definedName name="_xlnm._FilterDatabase" localSheetId="0" hidden="1">Assumptions!$L$43:$M$100</definedName>
    <definedName name="Apartments_Abatement">Assumptions!$C$28</definedName>
    <definedName name="Apartments_Abatement_A">Assumptions!$C$37</definedName>
    <definedName name="Apartments_Base_Val">Assumptions!$B$7</definedName>
    <definedName name="Apartments_CDC">Assumptions!$E$28</definedName>
    <definedName name="Apartments_CDC_A">Assumptions!$E$37</definedName>
    <definedName name="Apartments_Impvt_Val">Assumptions!$B$10</definedName>
    <definedName name="Apartments_Land_Growth">Assumptions!$B$9</definedName>
    <definedName name="Apartments_Non_abated">Assumptions!$D$28</definedName>
    <definedName name="Apartments_Non_abated_A">Assumptions!$D$37</definedName>
    <definedName name="Apartments_Retained">Assumptions!$F$28</definedName>
    <definedName name="Apartments_Retained_A">Assumptions!$F$37</definedName>
    <definedName name="Apartments_Term">Assumptions!$B$28</definedName>
    <definedName name="Apartments_Term_A">Assumptions!$B$37</definedName>
    <definedName name="Condos_Base_Val">Assumptions!$D$18</definedName>
    <definedName name="Condos_Impvt_Val">Assumptions!$D$21</definedName>
    <definedName name="Condos_Land_Growth">Assumptions!$D$20</definedName>
    <definedName name="Full_Comm_Rate_A">Assumptions!$K$28</definedName>
    <definedName name="Full_Comm_Rate_B">Assumptions!$K$32</definedName>
    <definedName name="Full_Res_Rate_A">Assumptions!$J$28</definedName>
    <definedName name="Full_Res_Rate_B">Assumptions!$J$32</definedName>
    <definedName name="Hilliard_Abatement">Assumptions!$A$26:$F$33</definedName>
    <definedName name="Hilliard_Abatement_C">Assumptions!$A$26:$A$33</definedName>
    <definedName name="Hilliard_Abatement_R">Assumptions!$A$26:$F$26</definedName>
    <definedName name="Hilliard_Rates">Assumptions!$I$25:$K$28</definedName>
    <definedName name="Hotel_Abatement">Assumptions!$C$33</definedName>
    <definedName name="Hotel_Abatement_A">Assumptions!$C$42</definedName>
    <definedName name="Hotel_CDC">Assumptions!$E$33</definedName>
    <definedName name="Hotel_CDC_A">Assumptions!$E$42</definedName>
    <definedName name="Hotel_Non_abated">Assumptions!$D$33</definedName>
    <definedName name="Hotel_Non_abated_A">Assumptions!$D$42</definedName>
    <definedName name="Hotel_Retained">Assumptions!$F$33</definedName>
    <definedName name="Hotel_Retained_A">Assumptions!$F$42</definedName>
    <definedName name="Hotel_Term">Assumptions!$B$33</definedName>
    <definedName name="Hotel_Term_A">Assumptions!$B$42</definedName>
    <definedName name="Land_Growth_Abatement">Assumptions!$C$27</definedName>
    <definedName name="Land_Growth_Abatement_A">Assumptions!$C$36</definedName>
    <definedName name="Land_Growth_CDC">Assumptions!$E$27</definedName>
    <definedName name="Land_Growth_CDC_A">Assumptions!$E$36</definedName>
    <definedName name="Land_Growth_Non_abated">Assumptions!$D$27</definedName>
    <definedName name="Land_Growth_Non_abated_A">Assumptions!$D$36</definedName>
    <definedName name="Land_Growth_Retained">Assumptions!$F$27</definedName>
    <definedName name="Land_Growth_Retained_A">Assumptions!$F$36</definedName>
    <definedName name="Land_Growth_Term">Assumptions!$B$27</definedName>
    <definedName name="Land_Growth_Term_A">Assumptions!$B$36</definedName>
    <definedName name="Non_School_Comm_Rate_A">Assumptions!$K$27</definedName>
    <definedName name="Non_School_Comm_Rate_B">Assumptions!$K$31</definedName>
    <definedName name="Non_School_Res_Rate_A">Assumptions!$J$27</definedName>
    <definedName name="Non_School_Res_Rate_B">Assumptions!$J$31</definedName>
    <definedName name="Office_Abatement">Assumptions!$C$30</definedName>
    <definedName name="Office_Abatement_A">Assumptions!$C$39</definedName>
    <definedName name="Office_Base_Val">Assumptions!$B$18</definedName>
    <definedName name="Office_CDC">Assumptions!$E$30</definedName>
    <definedName name="Office_CDC_A">Assumptions!$E$39</definedName>
    <definedName name="Office_Impvt_Val">Assumptions!$B$21</definedName>
    <definedName name="Office_Land_Growth">Assumptions!$B$20</definedName>
    <definedName name="Office_Non_abated">Assumptions!$D$30</definedName>
    <definedName name="Office_Non_abated_A">Assumptions!$D$39</definedName>
    <definedName name="Office_Retained">Assumptions!$F$30</definedName>
    <definedName name="Office_Retained_A">Assumptions!$F$39</definedName>
    <definedName name="Office_Term">Assumptions!$B$30</definedName>
    <definedName name="Office_Term_A">Assumptions!$B$39</definedName>
    <definedName name="_xlnm.Print_Area" localSheetId="0">Assumptions!$A$1:$G$22</definedName>
    <definedName name="_xlnm.Print_Area" localSheetId="1">Calculations!$A$1:$AE$110</definedName>
    <definedName name="Residential_Abatement">Assumptions!$C$29</definedName>
    <definedName name="Residential_Abatement_A">Assumptions!$C$38</definedName>
    <definedName name="Residential_Base_Val">Assumptions!$D$7</definedName>
    <definedName name="Residential_CDC">Assumptions!$E$29</definedName>
    <definedName name="Residential_CDC_A">Assumptions!$E$38</definedName>
    <definedName name="Residential_Impvt_Val">Assumptions!$D$10</definedName>
    <definedName name="Residential_Land_Growth">Assumptions!$D$9</definedName>
    <definedName name="Residential_Non_abated">Assumptions!$D$29</definedName>
    <definedName name="Residential_Non_abated_A">Assumptions!$D$38</definedName>
    <definedName name="Residential_Retained">Assumptions!$F$29</definedName>
    <definedName name="Residential_Retained_A">Assumptions!$F$38</definedName>
    <definedName name="Residential_Term">Assumptions!$B$29</definedName>
    <definedName name="Residential_Term_A">Assumptions!$B$38</definedName>
    <definedName name="Retail_Abatement">Assumptions!$C$31</definedName>
    <definedName name="Retail_Abatement_A">Assumptions!$C$40</definedName>
    <definedName name="Retail_CDC">Assumptions!$E$31</definedName>
    <definedName name="Retail_CDC_A">Assumptions!$E$40</definedName>
    <definedName name="Retail_Non_abated">Assumptions!$D$31</definedName>
    <definedName name="Retail_Non_abated_A">Assumptions!$D$40</definedName>
    <definedName name="Retail_Retained">Assumptions!$F$31</definedName>
    <definedName name="Retail_Retained_A">Assumptions!$F$40</definedName>
    <definedName name="Retail_Term">Assumptions!$B$31</definedName>
    <definedName name="Retail_Term_A">Assumptions!$B$40</definedName>
    <definedName name="School_Comm_Rate_A">Assumptions!$K$26</definedName>
    <definedName name="School_Comm_Rate_B">Assumptions!$K$30</definedName>
    <definedName name="School_Res_Rate_A">Assumptions!$J$26</definedName>
    <definedName name="School_Res_Rate_B">Assumptions!$J$30</definedName>
    <definedName name="Senior_Apartments_Abatement">Assumptions!$C$32</definedName>
    <definedName name="Senior_Apartments_Abatement_A">Assumptions!$C$41</definedName>
    <definedName name="Senior_Apartments_CDC">Assumptions!$E$32</definedName>
    <definedName name="Senior_Apartments_CDC_A">Assumptions!$E$41</definedName>
    <definedName name="Senior_Apartments_Non_abated">Assumptions!$D$32</definedName>
    <definedName name="Senior_Apartments_Non_abated_A">Assumptions!$D$41</definedName>
    <definedName name="Senior_Apartments_Retained">Assumptions!$F$32</definedName>
    <definedName name="Senior_Apartments_Retained_A">Assumptions!$F$41</definedName>
    <definedName name="Senior_Apartments_Term">Assumptions!$B$32</definedName>
    <definedName name="Senior_Apartments_Term_A">Assumptions!$B$41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" i="3" l="1"/>
  <c r="B3" i="3"/>
  <c r="F13" i="1"/>
  <c r="F12" i="1"/>
  <c r="F11" i="1"/>
  <c r="B4" i="3" l="1"/>
  <c r="C4" i="3" s="1"/>
  <c r="K3" i="3"/>
  <c r="Q3" i="3" s="1"/>
  <c r="W3" i="3" s="1"/>
  <c r="AC3" i="3" s="1"/>
  <c r="H3" i="3"/>
  <c r="N3" i="3" s="1"/>
  <c r="T3" i="3" s="1"/>
  <c r="Z3" i="3" s="1"/>
  <c r="D4" i="3" l="1"/>
  <c r="E4" i="3"/>
  <c r="F42" i="1"/>
  <c r="D42" i="1"/>
  <c r="F41" i="1"/>
  <c r="D41" i="1"/>
  <c r="F40" i="1"/>
  <c r="D40" i="1"/>
  <c r="F39" i="1"/>
  <c r="D39" i="1"/>
  <c r="F38" i="1"/>
  <c r="D38" i="1"/>
  <c r="F37" i="1"/>
  <c r="D37" i="1"/>
  <c r="D36" i="1"/>
  <c r="F36" i="1" s="1"/>
  <c r="K32" i="1"/>
  <c r="J32" i="1"/>
  <c r="G4" i="3" l="1"/>
  <c r="F4" i="3"/>
  <c r="H4" i="3"/>
  <c r="J4" i="3" l="1"/>
  <c r="I4" i="3"/>
  <c r="K4" i="3"/>
  <c r="K28" i="1"/>
  <c r="J28" i="1"/>
  <c r="F33" i="1"/>
  <c r="D33" i="1"/>
  <c r="F32" i="1"/>
  <c r="D32" i="1"/>
  <c r="F31" i="1"/>
  <c r="D31" i="1"/>
  <c r="F30" i="1"/>
  <c r="D30" i="1"/>
  <c r="F29" i="1"/>
  <c r="D29" i="1"/>
  <c r="F28" i="1"/>
  <c r="D28" i="1"/>
  <c r="D27" i="1"/>
  <c r="F27" i="1" s="1"/>
  <c r="M4" i="3" l="1"/>
  <c r="N4" i="3"/>
  <c r="L4" i="3"/>
  <c r="AE84" i="3"/>
  <c r="AD84" i="3"/>
  <c r="AC84" i="3"/>
  <c r="AB84" i="3"/>
  <c r="AA84" i="3"/>
  <c r="Z84" i="3"/>
  <c r="Y84" i="3"/>
  <c r="X84" i="3"/>
  <c r="W84" i="3"/>
  <c r="V84" i="3"/>
  <c r="U84" i="3"/>
  <c r="T84" i="3"/>
  <c r="S84" i="3"/>
  <c r="R84" i="3"/>
  <c r="Q84" i="3"/>
  <c r="P84" i="3"/>
  <c r="O84" i="3"/>
  <c r="N84" i="3"/>
  <c r="M84" i="3"/>
  <c r="L84" i="3"/>
  <c r="B72" i="3"/>
  <c r="C72" i="3" s="1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O4" i="3" l="1"/>
  <c r="P4" i="3"/>
  <c r="Q4" i="3"/>
  <c r="D72" i="3"/>
  <c r="R4" i="3" l="1"/>
  <c r="T4" i="3"/>
  <c r="S4" i="3"/>
  <c r="E72" i="3"/>
  <c r="W4" i="3" l="1"/>
  <c r="U4" i="3"/>
  <c r="V4" i="3"/>
  <c r="F72" i="3"/>
  <c r="Z4" i="3" l="1"/>
  <c r="X4" i="3"/>
  <c r="Y4" i="3"/>
  <c r="G72" i="3"/>
  <c r="AC4" i="3" l="1"/>
  <c r="AB4" i="3"/>
  <c r="AA4" i="3"/>
  <c r="H72" i="3"/>
  <c r="AE4" i="3" l="1"/>
  <c r="AD4" i="3"/>
  <c r="I72" i="3"/>
  <c r="J72" i="3" l="1"/>
  <c r="K72" i="3" l="1"/>
  <c r="B50" i="3" l="1"/>
  <c r="B28" i="3"/>
  <c r="B7" i="3"/>
  <c r="C50" i="3" l="1"/>
  <c r="C7" i="3"/>
  <c r="D7" i="3" s="1"/>
  <c r="C28" i="3"/>
  <c r="D50" i="3" l="1"/>
  <c r="D28" i="3"/>
  <c r="E7" i="3"/>
  <c r="E50" i="3" l="1"/>
  <c r="F50" i="3" s="1"/>
  <c r="E28" i="3"/>
  <c r="F7" i="3"/>
  <c r="F28" i="3" l="1"/>
  <c r="G50" i="3"/>
  <c r="G7" i="3"/>
  <c r="G28" i="3" l="1"/>
  <c r="H50" i="3"/>
  <c r="H7" i="3"/>
  <c r="H28" i="3" l="1"/>
  <c r="I50" i="3"/>
  <c r="I7" i="3"/>
  <c r="I28" i="3" l="1"/>
  <c r="J50" i="3"/>
  <c r="J7" i="3"/>
  <c r="J28" i="3" l="1"/>
  <c r="K50" i="3"/>
  <c r="K7" i="3"/>
  <c r="K28" i="3" l="1"/>
  <c r="A70" i="3" l="1"/>
  <c r="A96" i="3" s="1"/>
  <c r="A8" i="4" s="1"/>
  <c r="A27" i="3"/>
  <c r="A94" i="3" s="1"/>
  <c r="A6" i="4" s="1"/>
  <c r="A48" i="3"/>
  <c r="A95" i="3" s="1"/>
  <c r="A7" i="4" s="1"/>
  <c r="A6" i="3"/>
  <c r="A93" i="3" s="1"/>
  <c r="A5" i="4" s="1"/>
  <c r="C71" i="3" l="1"/>
  <c r="B49" i="3"/>
  <c r="H28" i="1"/>
  <c r="D7" i="1" l="1"/>
  <c r="B52" i="3" s="1"/>
  <c r="C52" i="3" s="1"/>
  <c r="D52" i="3" s="1"/>
  <c r="E52" i="3" s="1"/>
  <c r="F52" i="3" s="1"/>
  <c r="G52" i="3" s="1"/>
  <c r="H52" i="3" s="1"/>
  <c r="I52" i="3" s="1"/>
  <c r="J52" i="3" s="1"/>
  <c r="K52" i="3" s="1"/>
  <c r="L52" i="3" s="1"/>
  <c r="M52" i="3" s="1"/>
  <c r="N52" i="3" s="1"/>
  <c r="O52" i="3" s="1"/>
  <c r="P52" i="3" s="1"/>
  <c r="Q52" i="3" s="1"/>
  <c r="R52" i="3" s="1"/>
  <c r="S52" i="3" s="1"/>
  <c r="T52" i="3" s="1"/>
  <c r="U52" i="3" s="1"/>
  <c r="V52" i="3" s="1"/>
  <c r="W52" i="3" s="1"/>
  <c r="X52" i="3" s="1"/>
  <c r="Y52" i="3" s="1"/>
  <c r="Z52" i="3" s="1"/>
  <c r="AA52" i="3" s="1"/>
  <c r="AB52" i="3" s="1"/>
  <c r="AC52" i="3" s="1"/>
  <c r="AD52" i="3" s="1"/>
  <c r="AE52" i="3" s="1"/>
  <c r="AE60" i="3" s="1"/>
  <c r="B18" i="1"/>
  <c r="B30" i="3" s="1"/>
  <c r="C30" i="3" s="1"/>
  <c r="D30" i="3" s="1"/>
  <c r="E30" i="3" s="1"/>
  <c r="F30" i="3" s="1"/>
  <c r="G30" i="3" s="1"/>
  <c r="H30" i="3" s="1"/>
  <c r="I30" i="3" s="1"/>
  <c r="J30" i="3" s="1"/>
  <c r="K30" i="3" s="1"/>
  <c r="L30" i="3" s="1"/>
  <c r="M30" i="3" s="1"/>
  <c r="N30" i="3" s="1"/>
  <c r="O30" i="3" s="1"/>
  <c r="P30" i="3" s="1"/>
  <c r="Q30" i="3" s="1"/>
  <c r="R30" i="3" s="1"/>
  <c r="S30" i="3" s="1"/>
  <c r="T30" i="3" s="1"/>
  <c r="U30" i="3" s="1"/>
  <c r="V30" i="3" s="1"/>
  <c r="W30" i="3" s="1"/>
  <c r="X30" i="3" s="1"/>
  <c r="Y30" i="3" s="1"/>
  <c r="Z30" i="3" s="1"/>
  <c r="AA30" i="3" s="1"/>
  <c r="AB30" i="3" s="1"/>
  <c r="AC30" i="3" s="1"/>
  <c r="AD30" i="3" s="1"/>
  <c r="AE30" i="3" s="1"/>
  <c r="D18" i="1"/>
  <c r="B74" i="3" s="1"/>
  <c r="C74" i="3" s="1"/>
  <c r="D74" i="3" s="1"/>
  <c r="E74" i="3" s="1"/>
  <c r="F74" i="3" s="1"/>
  <c r="G74" i="3" s="1"/>
  <c r="H74" i="3" s="1"/>
  <c r="I74" i="3" s="1"/>
  <c r="J74" i="3" s="1"/>
  <c r="K74" i="3" s="1"/>
  <c r="L74" i="3" s="1"/>
  <c r="M74" i="3" s="1"/>
  <c r="N74" i="3" s="1"/>
  <c r="O74" i="3" s="1"/>
  <c r="P74" i="3" s="1"/>
  <c r="Q74" i="3" s="1"/>
  <c r="R74" i="3" s="1"/>
  <c r="S74" i="3" s="1"/>
  <c r="T74" i="3" s="1"/>
  <c r="U74" i="3" s="1"/>
  <c r="V74" i="3" s="1"/>
  <c r="W74" i="3" s="1"/>
  <c r="X74" i="3" s="1"/>
  <c r="Y74" i="3" s="1"/>
  <c r="Z74" i="3" s="1"/>
  <c r="AA74" i="3" s="1"/>
  <c r="AB74" i="3" s="1"/>
  <c r="AC74" i="3" s="1"/>
  <c r="AD74" i="3" s="1"/>
  <c r="AE74" i="3" s="1"/>
  <c r="B7" i="1"/>
  <c r="B9" i="3" s="1"/>
  <c r="C9" i="3" s="1"/>
  <c r="D9" i="3" s="1"/>
  <c r="E9" i="3" s="1"/>
  <c r="F9" i="3" s="1"/>
  <c r="G9" i="3" s="1"/>
  <c r="H9" i="3" s="1"/>
  <c r="I9" i="3" s="1"/>
  <c r="J9" i="3" s="1"/>
  <c r="K9" i="3" s="1"/>
  <c r="L9" i="3" s="1"/>
  <c r="M9" i="3" s="1"/>
  <c r="N9" i="3" s="1"/>
  <c r="O9" i="3" s="1"/>
  <c r="P9" i="3" s="1"/>
  <c r="Q9" i="3" s="1"/>
  <c r="R9" i="3" s="1"/>
  <c r="S9" i="3" s="1"/>
  <c r="T9" i="3" s="1"/>
  <c r="U9" i="3" s="1"/>
  <c r="V9" i="3" s="1"/>
  <c r="W9" i="3" s="1"/>
  <c r="X9" i="3" s="1"/>
  <c r="Y9" i="3" s="1"/>
  <c r="Z9" i="3" s="1"/>
  <c r="AA9" i="3" s="1"/>
  <c r="AB9" i="3" s="1"/>
  <c r="AC9" i="3" s="1"/>
  <c r="AD9" i="3" s="1"/>
  <c r="AE9" i="3" s="1"/>
  <c r="L60" i="3"/>
  <c r="D60" i="3"/>
  <c r="Q60" i="3"/>
  <c r="W60" i="3"/>
  <c r="G60" i="3"/>
  <c r="AD60" i="3"/>
  <c r="F60" i="3"/>
  <c r="B60" i="3"/>
  <c r="M60" i="3"/>
  <c r="AC60" i="3"/>
  <c r="K60" i="3"/>
  <c r="C60" i="3"/>
  <c r="S60" i="3"/>
  <c r="E60" i="3"/>
  <c r="O60" i="3" l="1"/>
  <c r="T60" i="3"/>
  <c r="H60" i="3"/>
  <c r="U60" i="3"/>
  <c r="I60" i="3"/>
  <c r="AA60" i="3"/>
  <c r="AB60" i="3"/>
  <c r="N60" i="3"/>
  <c r="P60" i="3"/>
  <c r="R60" i="3"/>
  <c r="Z60" i="3"/>
  <c r="J60" i="3"/>
  <c r="V60" i="3"/>
  <c r="X60" i="3"/>
  <c r="S17" i="3"/>
  <c r="M17" i="3"/>
  <c r="Q17" i="3"/>
  <c r="H17" i="3"/>
  <c r="I17" i="3"/>
  <c r="Y60" i="3"/>
  <c r="M38" i="3"/>
  <c r="Q38" i="3"/>
  <c r="U38" i="3"/>
  <c r="AA38" i="3"/>
  <c r="P38" i="3"/>
  <c r="G38" i="3"/>
  <c r="O38" i="3"/>
  <c r="L38" i="3"/>
  <c r="C38" i="3"/>
  <c r="E38" i="3"/>
  <c r="H38" i="3"/>
  <c r="X38" i="3"/>
  <c r="F38" i="3"/>
  <c r="K38" i="3"/>
  <c r="N38" i="3"/>
  <c r="I38" i="3"/>
  <c r="J38" i="3"/>
  <c r="Z38" i="3"/>
  <c r="I82" i="3"/>
  <c r="O82" i="3"/>
  <c r="W82" i="3"/>
  <c r="AE82" i="3"/>
  <c r="B82" i="3"/>
  <c r="F82" i="3"/>
  <c r="J82" i="3"/>
  <c r="L82" i="3"/>
  <c r="N82" i="3"/>
  <c r="P82" i="3"/>
  <c r="C82" i="3"/>
  <c r="G82" i="3"/>
  <c r="K82" i="3"/>
  <c r="S82" i="3"/>
  <c r="AC82" i="3"/>
  <c r="D82" i="3"/>
  <c r="H82" i="3"/>
  <c r="R82" i="3"/>
  <c r="T82" i="3"/>
  <c r="V82" i="3"/>
  <c r="X82" i="3"/>
  <c r="E82" i="3"/>
  <c r="M82" i="3"/>
  <c r="Q82" i="3"/>
  <c r="U82" i="3"/>
  <c r="Y82" i="3"/>
  <c r="AA82" i="3"/>
  <c r="Z82" i="3"/>
  <c r="AB82" i="3"/>
  <c r="AD82" i="3"/>
  <c r="R17" i="3"/>
  <c r="O17" i="3"/>
  <c r="J17" i="3"/>
  <c r="F17" i="3"/>
  <c r="P17" i="3"/>
  <c r="N17" i="3"/>
  <c r="G17" i="3"/>
  <c r="K17" i="3"/>
  <c r="C17" i="3"/>
  <c r="W38" i="3"/>
  <c r="AA17" i="3"/>
  <c r="B17" i="3"/>
  <c r="D38" i="3"/>
  <c r="R38" i="3"/>
  <c r="AE38" i="3"/>
  <c r="AE17" i="3"/>
  <c r="Y17" i="3"/>
  <c r="Z17" i="3"/>
  <c r="AB38" i="3"/>
  <c r="V38" i="3"/>
  <c r="S38" i="3"/>
  <c r="W17" i="3"/>
  <c r="B38" i="3"/>
  <c r="AD17" i="3"/>
  <c r="T38" i="3"/>
  <c r="V17" i="3"/>
  <c r="X17" i="3"/>
  <c r="U17" i="3"/>
  <c r="E17" i="3"/>
  <c r="AD38" i="3"/>
  <c r="AC17" i="3"/>
  <c r="L17" i="3"/>
  <c r="Y38" i="3" l="1"/>
  <c r="D17" i="3"/>
  <c r="AB17" i="3"/>
  <c r="T17" i="3"/>
  <c r="AC38" i="3"/>
  <c r="C1" i="4" l="1"/>
  <c r="D1" i="4" s="1"/>
  <c r="E1" i="4" s="1"/>
  <c r="F1" i="4" s="1"/>
  <c r="G1" i="4" s="1"/>
  <c r="H1" i="4" s="1"/>
  <c r="I1" i="4" s="1"/>
  <c r="J1" i="4" s="1"/>
  <c r="K1" i="4" s="1"/>
  <c r="L1" i="4" s="1"/>
  <c r="M1" i="4" s="1"/>
  <c r="N1" i="4" s="1"/>
  <c r="O1" i="4" s="1"/>
  <c r="P1" i="4" s="1"/>
  <c r="Q1" i="4" s="1"/>
  <c r="R1" i="4" s="1"/>
  <c r="S1" i="4" s="1"/>
  <c r="T1" i="4" s="1"/>
  <c r="U1" i="4" s="1"/>
  <c r="V1" i="4" s="1"/>
  <c r="W1" i="4" s="1"/>
  <c r="X1" i="4" s="1"/>
  <c r="Y1" i="4" s="1"/>
  <c r="Z1" i="4" s="1"/>
  <c r="AA1" i="4" s="1"/>
  <c r="AB1" i="4" s="1"/>
  <c r="AC1" i="4" s="1"/>
  <c r="AD1" i="4" s="1"/>
  <c r="AE1" i="4" s="1"/>
  <c r="B2" i="4"/>
  <c r="C2" i="4" s="1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C1" i="3"/>
  <c r="C2" i="3" s="1"/>
  <c r="B2" i="3"/>
  <c r="B32" i="3" l="1"/>
  <c r="B76" i="3"/>
  <c r="C75" i="3"/>
  <c r="C76" i="3"/>
  <c r="C32" i="3"/>
  <c r="B75" i="3"/>
  <c r="B31" i="3"/>
  <c r="B10" i="3"/>
  <c r="B53" i="3"/>
  <c r="B11" i="3"/>
  <c r="B54" i="3"/>
  <c r="B73" i="3"/>
  <c r="C73" i="3"/>
  <c r="B3" i="4"/>
  <c r="B8" i="3"/>
  <c r="B16" i="3" s="1"/>
  <c r="B29" i="3"/>
  <c r="B51" i="3"/>
  <c r="B65" i="3" s="1"/>
  <c r="C3" i="4"/>
  <c r="C29" i="3"/>
  <c r="C8" i="3"/>
  <c r="C51" i="3"/>
  <c r="D1" i="3"/>
  <c r="E1" i="3" s="1"/>
  <c r="C49" i="3"/>
  <c r="D71" i="3"/>
  <c r="B85" i="3" l="1"/>
  <c r="B83" i="3"/>
  <c r="B81" i="3"/>
  <c r="B84" i="3"/>
  <c r="B87" i="3"/>
  <c r="B78" i="3"/>
  <c r="B79" i="3" s="1"/>
  <c r="B37" i="3"/>
  <c r="B62" i="3"/>
  <c r="B22" i="3"/>
  <c r="B19" i="3"/>
  <c r="B61" i="3"/>
  <c r="B63" i="3"/>
  <c r="B59" i="3"/>
  <c r="B40" i="3"/>
  <c r="B43" i="3"/>
  <c r="B20" i="3"/>
  <c r="B18" i="3"/>
  <c r="B41" i="3"/>
  <c r="B39" i="3"/>
  <c r="B34" i="3"/>
  <c r="B35" i="3" s="1"/>
  <c r="D2" i="3"/>
  <c r="D76" i="3" s="1"/>
  <c r="E71" i="3"/>
  <c r="D49" i="3"/>
  <c r="E2" i="3"/>
  <c r="F1" i="3"/>
  <c r="B88" i="3" l="1"/>
  <c r="B90" i="3"/>
  <c r="B89" i="3" s="1"/>
  <c r="D8" i="3"/>
  <c r="E8" i="3" s="1"/>
  <c r="D73" i="3"/>
  <c r="E73" i="3" s="1"/>
  <c r="B66" i="3"/>
  <c r="E3" i="4"/>
  <c r="D3" i="4"/>
  <c r="D29" i="3"/>
  <c r="D51" i="3"/>
  <c r="E49" i="3"/>
  <c r="F71" i="3"/>
  <c r="G1" i="3"/>
  <c r="F2" i="3"/>
  <c r="F73" i="3" l="1"/>
  <c r="E29" i="3"/>
  <c r="F29" i="3" s="1"/>
  <c r="F3" i="4"/>
  <c r="F8" i="3"/>
  <c r="E51" i="3"/>
  <c r="G71" i="3"/>
  <c r="F49" i="3"/>
  <c r="H1" i="3"/>
  <c r="G2" i="3"/>
  <c r="G73" i="3" l="1"/>
  <c r="H73" i="3" s="1"/>
  <c r="F51" i="3"/>
  <c r="G3" i="4"/>
  <c r="G8" i="3"/>
  <c r="G29" i="3"/>
  <c r="G49" i="3"/>
  <c r="H71" i="3"/>
  <c r="H2" i="3"/>
  <c r="I1" i="3"/>
  <c r="G51" i="3" l="1"/>
  <c r="H51" i="3" s="1"/>
  <c r="H3" i="4"/>
  <c r="H8" i="3"/>
  <c r="H29" i="3"/>
  <c r="I71" i="3"/>
  <c r="H49" i="3"/>
  <c r="I2" i="3"/>
  <c r="J1" i="3"/>
  <c r="I73" i="3" l="1"/>
  <c r="I3" i="4"/>
  <c r="I8" i="3"/>
  <c r="I51" i="3"/>
  <c r="I29" i="3"/>
  <c r="J71" i="3"/>
  <c r="I49" i="3"/>
  <c r="K1" i="3"/>
  <c r="J2" i="3"/>
  <c r="J73" i="3" l="1"/>
  <c r="J3" i="4"/>
  <c r="J8" i="3"/>
  <c r="J51" i="3"/>
  <c r="J29" i="3"/>
  <c r="J49" i="3"/>
  <c r="K71" i="3"/>
  <c r="K2" i="3"/>
  <c r="L1" i="3"/>
  <c r="K73" i="3" l="1"/>
  <c r="K3" i="4"/>
  <c r="K8" i="3"/>
  <c r="K29" i="3"/>
  <c r="K51" i="3"/>
  <c r="L71" i="3"/>
  <c r="K49" i="3"/>
  <c r="L2" i="3"/>
  <c r="M1" i="3"/>
  <c r="L73" i="3" l="1"/>
  <c r="L3" i="4"/>
  <c r="L8" i="3"/>
  <c r="L51" i="3"/>
  <c r="L29" i="3"/>
  <c r="L49" i="3"/>
  <c r="M71" i="3"/>
  <c r="M2" i="3"/>
  <c r="N1" i="3"/>
  <c r="M73" i="3" l="1"/>
  <c r="M3" i="4"/>
  <c r="M8" i="3"/>
  <c r="M29" i="3"/>
  <c r="M51" i="3"/>
  <c r="N71" i="3"/>
  <c r="M49" i="3"/>
  <c r="O1" i="3"/>
  <c r="N2" i="3"/>
  <c r="N73" i="3" l="1"/>
  <c r="N3" i="4"/>
  <c r="N8" i="3"/>
  <c r="N29" i="3"/>
  <c r="N51" i="3"/>
  <c r="N49" i="3"/>
  <c r="O71" i="3"/>
  <c r="P1" i="3"/>
  <c r="O2" i="3"/>
  <c r="O73" i="3" l="1"/>
  <c r="O3" i="4"/>
  <c r="O8" i="3"/>
  <c r="O29" i="3"/>
  <c r="O51" i="3"/>
  <c r="P71" i="3"/>
  <c r="O49" i="3"/>
  <c r="Q1" i="3"/>
  <c r="P2" i="3"/>
  <c r="P73" i="3" l="1"/>
  <c r="P3" i="4"/>
  <c r="P8" i="3"/>
  <c r="P29" i="3"/>
  <c r="P51" i="3"/>
  <c r="P49" i="3"/>
  <c r="Q71" i="3"/>
  <c r="Q2" i="3"/>
  <c r="R1" i="3"/>
  <c r="Q73" i="3" l="1"/>
  <c r="Q3" i="4"/>
  <c r="Q8" i="3"/>
  <c r="Q29" i="3"/>
  <c r="Q51" i="3"/>
  <c r="R71" i="3"/>
  <c r="Q49" i="3"/>
  <c r="S1" i="3"/>
  <c r="R2" i="3"/>
  <c r="R73" i="3" l="1"/>
  <c r="R3" i="4"/>
  <c r="R51" i="3"/>
  <c r="R29" i="3"/>
  <c r="R8" i="3"/>
  <c r="R49" i="3"/>
  <c r="S71" i="3"/>
  <c r="T1" i="3"/>
  <c r="S2" i="3"/>
  <c r="S73" i="3" s="1"/>
  <c r="S3" i="4" l="1"/>
  <c r="S29" i="3"/>
  <c r="S51" i="3"/>
  <c r="S8" i="3"/>
  <c r="T71" i="3"/>
  <c r="S49" i="3"/>
  <c r="T2" i="3"/>
  <c r="T73" i="3" s="1"/>
  <c r="U1" i="3"/>
  <c r="T85" i="3" l="1"/>
  <c r="T87" i="3"/>
  <c r="S43" i="3"/>
  <c r="S22" i="3"/>
  <c r="S41" i="3"/>
  <c r="T3" i="4"/>
  <c r="T8" i="3"/>
  <c r="T51" i="3"/>
  <c r="T65" i="3" s="1"/>
  <c r="T29" i="3"/>
  <c r="S20" i="3"/>
  <c r="T49" i="3"/>
  <c r="U71" i="3"/>
  <c r="U2" i="3"/>
  <c r="U73" i="3" s="1"/>
  <c r="V1" i="3"/>
  <c r="U85" i="3" l="1"/>
  <c r="U87" i="3"/>
  <c r="T22" i="3"/>
  <c r="T43" i="3"/>
  <c r="T63" i="3"/>
  <c r="T41" i="3"/>
  <c r="T20" i="3"/>
  <c r="U3" i="4"/>
  <c r="U8" i="3"/>
  <c r="U51" i="3"/>
  <c r="U65" i="3" s="1"/>
  <c r="U29" i="3"/>
  <c r="V71" i="3"/>
  <c r="U49" i="3"/>
  <c r="W1" i="3"/>
  <c r="V2" i="3"/>
  <c r="V73" i="3" s="1"/>
  <c r="V85" i="3" l="1"/>
  <c r="V87" i="3"/>
  <c r="U22" i="3"/>
  <c r="U63" i="3"/>
  <c r="U43" i="3"/>
  <c r="U41" i="3"/>
  <c r="U20" i="3"/>
  <c r="V3" i="4"/>
  <c r="V8" i="3"/>
  <c r="V51" i="3"/>
  <c r="V65" i="3" s="1"/>
  <c r="V29" i="3"/>
  <c r="V49" i="3"/>
  <c r="W71" i="3"/>
  <c r="X1" i="3"/>
  <c r="W2" i="3"/>
  <c r="W73" i="3" s="1"/>
  <c r="W85" i="3" l="1"/>
  <c r="W87" i="3"/>
  <c r="V22" i="3"/>
  <c r="V43" i="3"/>
  <c r="V63" i="3"/>
  <c r="W3" i="4"/>
  <c r="W51" i="3"/>
  <c r="W65" i="3" s="1"/>
  <c r="W29" i="3"/>
  <c r="W8" i="3"/>
  <c r="V41" i="3"/>
  <c r="V20" i="3"/>
  <c r="X71" i="3"/>
  <c r="W49" i="3"/>
  <c r="Y1" i="3"/>
  <c r="X2" i="3"/>
  <c r="X73" i="3" s="1"/>
  <c r="X87" i="3" l="1"/>
  <c r="X85" i="3"/>
  <c r="W63" i="3"/>
  <c r="W43" i="3"/>
  <c r="W22" i="3"/>
  <c r="X3" i="4"/>
  <c r="X51" i="3"/>
  <c r="X65" i="3" s="1"/>
  <c r="X8" i="3"/>
  <c r="X29" i="3"/>
  <c r="W20" i="3"/>
  <c r="W41" i="3"/>
  <c r="X49" i="3"/>
  <c r="Y71" i="3"/>
  <c r="Z1" i="3"/>
  <c r="Y2" i="3"/>
  <c r="Y73" i="3" s="1"/>
  <c r="Y87" i="3" l="1"/>
  <c r="Y85" i="3"/>
  <c r="X22" i="3"/>
  <c r="X63" i="3"/>
  <c r="X43" i="3"/>
  <c r="X41" i="3"/>
  <c r="Y3" i="4"/>
  <c r="Y51" i="3"/>
  <c r="Y65" i="3" s="1"/>
  <c r="Y8" i="3"/>
  <c r="Y29" i="3"/>
  <c r="X20" i="3"/>
  <c r="Z71" i="3"/>
  <c r="Y49" i="3"/>
  <c r="AA1" i="3"/>
  <c r="Z2" i="3"/>
  <c r="Z73" i="3" s="1"/>
  <c r="Z85" i="3" l="1"/>
  <c r="Z87" i="3"/>
  <c r="Y63" i="3"/>
  <c r="Y22" i="3"/>
  <c r="Y43" i="3"/>
  <c r="Y41" i="3"/>
  <c r="Z3" i="4"/>
  <c r="Z51" i="3"/>
  <c r="Z65" i="3" s="1"/>
  <c r="Z8" i="3"/>
  <c r="Z29" i="3"/>
  <c r="Y20" i="3"/>
  <c r="Z49" i="3"/>
  <c r="AA71" i="3"/>
  <c r="AB1" i="3"/>
  <c r="AA2" i="3"/>
  <c r="AA73" i="3" s="1"/>
  <c r="AA85" i="3" l="1"/>
  <c r="AA87" i="3"/>
  <c r="Z22" i="3"/>
  <c r="Z63" i="3"/>
  <c r="Z43" i="3"/>
  <c r="Z41" i="3"/>
  <c r="Z20" i="3"/>
  <c r="AA3" i="4"/>
  <c r="AA29" i="3"/>
  <c r="AA8" i="3"/>
  <c r="AA51" i="3"/>
  <c r="AA65" i="3" s="1"/>
  <c r="AB71" i="3"/>
  <c r="AA49" i="3"/>
  <c r="AC1" i="3"/>
  <c r="AB2" i="3"/>
  <c r="AB73" i="3" s="1"/>
  <c r="AB85" i="3" l="1"/>
  <c r="AB87" i="3"/>
  <c r="AA63" i="3"/>
  <c r="AA43" i="3"/>
  <c r="AA22" i="3"/>
  <c r="AA41" i="3"/>
  <c r="AB3" i="4"/>
  <c r="AB8" i="3"/>
  <c r="AB51" i="3"/>
  <c r="AB65" i="3" s="1"/>
  <c r="AB29" i="3"/>
  <c r="AA20" i="3"/>
  <c r="AB49" i="3"/>
  <c r="AC71" i="3"/>
  <c r="AC2" i="3"/>
  <c r="AC73" i="3" s="1"/>
  <c r="AD1" i="3"/>
  <c r="AC85" i="3" l="1"/>
  <c r="AC87" i="3"/>
  <c r="AB22" i="3"/>
  <c r="AB43" i="3"/>
  <c r="AB63" i="3"/>
  <c r="AB41" i="3"/>
  <c r="AC3" i="4"/>
  <c r="AC8" i="3"/>
  <c r="AC29" i="3"/>
  <c r="AC51" i="3"/>
  <c r="AC65" i="3" s="1"/>
  <c r="AB20" i="3"/>
  <c r="AD71" i="3"/>
  <c r="AC49" i="3"/>
  <c r="AD2" i="3"/>
  <c r="AD73" i="3" s="1"/>
  <c r="AE1" i="3"/>
  <c r="AE2" i="3" s="1"/>
  <c r="AE73" i="3" s="1"/>
  <c r="AE85" i="3" l="1"/>
  <c r="AE87" i="3"/>
  <c r="AD85" i="3"/>
  <c r="AD87" i="3"/>
  <c r="AC43" i="3"/>
  <c r="AC22" i="3"/>
  <c r="AC63" i="3"/>
  <c r="AD3" i="4"/>
  <c r="AD51" i="3"/>
  <c r="AD65" i="3" s="1"/>
  <c r="AD29" i="3"/>
  <c r="AD8" i="3"/>
  <c r="AE3" i="4"/>
  <c r="AE51" i="3"/>
  <c r="AE65" i="3" s="1"/>
  <c r="AE29" i="3"/>
  <c r="AE8" i="3"/>
  <c r="AC41" i="3"/>
  <c r="AC20" i="3"/>
  <c r="AD49" i="3"/>
  <c r="AE71" i="3"/>
  <c r="AE63" i="3" l="1"/>
  <c r="AE43" i="3"/>
  <c r="AD43" i="3"/>
  <c r="AD63" i="3"/>
  <c r="AE22" i="3"/>
  <c r="AD22" i="3"/>
  <c r="AE41" i="3"/>
  <c r="AE20" i="3"/>
  <c r="AD20" i="3"/>
  <c r="AD41" i="3"/>
  <c r="AE49" i="3"/>
  <c r="B19" i="1" l="1"/>
  <c r="B8" i="1"/>
  <c r="D8" i="1"/>
  <c r="D9" i="1" s="1"/>
  <c r="C53" i="3" s="1"/>
  <c r="D53" i="3" s="1"/>
  <c r="E53" i="3" s="1"/>
  <c r="F53" i="3" s="1"/>
  <c r="G53" i="3" s="1"/>
  <c r="H53" i="3" s="1"/>
  <c r="I53" i="3" s="1"/>
  <c r="J53" i="3" s="1"/>
  <c r="K53" i="3" s="1"/>
  <c r="L53" i="3" s="1"/>
  <c r="M53" i="3" s="1"/>
  <c r="N53" i="3" s="1"/>
  <c r="O53" i="3" s="1"/>
  <c r="P53" i="3" s="1"/>
  <c r="Q53" i="3" s="1"/>
  <c r="R53" i="3" s="1"/>
  <c r="S53" i="3" s="1"/>
  <c r="T53" i="3" s="1"/>
  <c r="U53" i="3" s="1"/>
  <c r="V53" i="3" s="1"/>
  <c r="W53" i="3" s="1"/>
  <c r="X53" i="3" s="1"/>
  <c r="Y53" i="3" s="1"/>
  <c r="Z53" i="3" s="1"/>
  <c r="AA53" i="3" s="1"/>
  <c r="AB53" i="3" s="1"/>
  <c r="AC53" i="3" s="1"/>
  <c r="AD53" i="3" s="1"/>
  <c r="AE53" i="3" s="1"/>
  <c r="D19" i="1"/>
  <c r="D20" i="1" s="1"/>
  <c r="D75" i="3" s="1"/>
  <c r="E75" i="3" s="1"/>
  <c r="F75" i="3" s="1"/>
  <c r="G75" i="3" s="1"/>
  <c r="H75" i="3" s="1"/>
  <c r="I75" i="3" s="1"/>
  <c r="J75" i="3" s="1"/>
  <c r="K75" i="3" s="1"/>
  <c r="L75" i="3" s="1"/>
  <c r="M75" i="3" s="1"/>
  <c r="N75" i="3" s="1"/>
  <c r="O75" i="3" s="1"/>
  <c r="P75" i="3" s="1"/>
  <c r="Q75" i="3" s="1"/>
  <c r="R75" i="3" s="1"/>
  <c r="S75" i="3" s="1"/>
  <c r="T75" i="3" s="1"/>
  <c r="U75" i="3" s="1"/>
  <c r="V75" i="3" s="1"/>
  <c r="W75" i="3" s="1"/>
  <c r="X75" i="3" s="1"/>
  <c r="Y75" i="3" s="1"/>
  <c r="Z75" i="3" s="1"/>
  <c r="AA75" i="3" s="1"/>
  <c r="AB75" i="3" s="1"/>
  <c r="AC75" i="3" s="1"/>
  <c r="AD75" i="3" s="1"/>
  <c r="AE75" i="3" s="1"/>
  <c r="C62" i="3" l="1"/>
  <c r="B9" i="1"/>
  <c r="C10" i="3" s="1"/>
  <c r="D10" i="3" s="1"/>
  <c r="E10" i="3" s="1"/>
  <c r="F10" i="3" s="1"/>
  <c r="G10" i="3" s="1"/>
  <c r="H10" i="3" s="1"/>
  <c r="I10" i="3" s="1"/>
  <c r="J10" i="3" s="1"/>
  <c r="K10" i="3" s="1"/>
  <c r="L10" i="3" s="1"/>
  <c r="M10" i="3" s="1"/>
  <c r="N10" i="3" s="1"/>
  <c r="O10" i="3" s="1"/>
  <c r="P10" i="3" s="1"/>
  <c r="Q10" i="3" s="1"/>
  <c r="R10" i="3" s="1"/>
  <c r="S10" i="3" s="1"/>
  <c r="T10" i="3" s="1"/>
  <c r="U10" i="3" s="1"/>
  <c r="V10" i="3" s="1"/>
  <c r="W10" i="3" s="1"/>
  <c r="X10" i="3" s="1"/>
  <c r="Y10" i="3" s="1"/>
  <c r="Z10" i="3" s="1"/>
  <c r="AA10" i="3" s="1"/>
  <c r="AB10" i="3" s="1"/>
  <c r="AC10" i="3" s="1"/>
  <c r="AD10" i="3" s="1"/>
  <c r="AE10" i="3" s="1"/>
  <c r="B20" i="1"/>
  <c r="C31" i="3" s="1"/>
  <c r="D31" i="3" s="1"/>
  <c r="E31" i="3" s="1"/>
  <c r="F31" i="3" s="1"/>
  <c r="G31" i="3" s="1"/>
  <c r="H31" i="3" s="1"/>
  <c r="I31" i="3" s="1"/>
  <c r="J31" i="3" s="1"/>
  <c r="K31" i="3" s="1"/>
  <c r="L31" i="3" s="1"/>
  <c r="M31" i="3" s="1"/>
  <c r="N31" i="3" s="1"/>
  <c r="O31" i="3" s="1"/>
  <c r="P31" i="3" s="1"/>
  <c r="Q31" i="3" s="1"/>
  <c r="R31" i="3" s="1"/>
  <c r="S31" i="3" s="1"/>
  <c r="T31" i="3" s="1"/>
  <c r="U31" i="3" s="1"/>
  <c r="V31" i="3" s="1"/>
  <c r="W31" i="3" s="1"/>
  <c r="X31" i="3" s="1"/>
  <c r="Y31" i="3" s="1"/>
  <c r="Z31" i="3" s="1"/>
  <c r="AA31" i="3" s="1"/>
  <c r="AB31" i="3" s="1"/>
  <c r="AC31" i="3" s="1"/>
  <c r="AD31" i="3" s="1"/>
  <c r="AE31" i="3" s="1"/>
  <c r="C84" i="3" l="1"/>
  <c r="C40" i="3"/>
  <c r="C19" i="3"/>
  <c r="D62" i="3"/>
  <c r="B46" i="3"/>
  <c r="B10" i="1"/>
  <c r="D21" i="1"/>
  <c r="E76" i="3" s="1"/>
  <c r="F76" i="3" s="1"/>
  <c r="G76" i="3" s="1"/>
  <c r="H76" i="3" s="1"/>
  <c r="I76" i="3" s="1"/>
  <c r="J76" i="3" s="1"/>
  <c r="K76" i="3" s="1"/>
  <c r="L76" i="3" s="1"/>
  <c r="M76" i="3" s="1"/>
  <c r="N76" i="3" s="1"/>
  <c r="O76" i="3" s="1"/>
  <c r="P76" i="3" s="1"/>
  <c r="Q76" i="3" s="1"/>
  <c r="R76" i="3" s="1"/>
  <c r="S76" i="3" s="1"/>
  <c r="B21" i="1"/>
  <c r="D32" i="3" s="1"/>
  <c r="E32" i="3" s="1"/>
  <c r="F32" i="3" s="1"/>
  <c r="G32" i="3" s="1"/>
  <c r="H32" i="3" s="1"/>
  <c r="I32" i="3" s="1"/>
  <c r="J32" i="3" s="1"/>
  <c r="K32" i="3" s="1"/>
  <c r="L32" i="3" s="1"/>
  <c r="M32" i="3" s="1"/>
  <c r="N32" i="3" s="1"/>
  <c r="O32" i="3" s="1"/>
  <c r="P32" i="3" s="1"/>
  <c r="Q32" i="3" s="1"/>
  <c r="R32" i="3" s="1"/>
  <c r="D10" i="1"/>
  <c r="S32" i="3" l="1"/>
  <c r="T32" i="3" s="1"/>
  <c r="U32" i="3" s="1"/>
  <c r="V32" i="3" s="1"/>
  <c r="W32" i="3" s="1"/>
  <c r="X32" i="3" s="1"/>
  <c r="Y32" i="3" s="1"/>
  <c r="Z32" i="3" s="1"/>
  <c r="AA32" i="3" s="1"/>
  <c r="AB32" i="3" s="1"/>
  <c r="AC32" i="3" s="1"/>
  <c r="AD32" i="3" s="1"/>
  <c r="AE32" i="3" s="1"/>
  <c r="R41" i="3"/>
  <c r="R43" i="3"/>
  <c r="S85" i="3"/>
  <c r="S87" i="3"/>
  <c r="T76" i="3"/>
  <c r="U76" i="3" s="1"/>
  <c r="V76" i="3" s="1"/>
  <c r="W76" i="3" s="1"/>
  <c r="X76" i="3" s="1"/>
  <c r="Y76" i="3" s="1"/>
  <c r="Z76" i="3" s="1"/>
  <c r="AA76" i="3" s="1"/>
  <c r="AB76" i="3" s="1"/>
  <c r="AC76" i="3" s="1"/>
  <c r="AD76" i="3" s="1"/>
  <c r="AE76" i="3" s="1"/>
  <c r="C11" i="3"/>
  <c r="D11" i="3" s="1"/>
  <c r="E11" i="3" s="1"/>
  <c r="F11" i="3" s="1"/>
  <c r="G11" i="3" s="1"/>
  <c r="H11" i="3" s="1"/>
  <c r="I11" i="3" s="1"/>
  <c r="J11" i="3" s="1"/>
  <c r="K11" i="3" s="1"/>
  <c r="L11" i="3" s="1"/>
  <c r="M11" i="3" s="1"/>
  <c r="N11" i="3" s="1"/>
  <c r="O11" i="3" s="1"/>
  <c r="P11" i="3" s="1"/>
  <c r="Q11" i="3" s="1"/>
  <c r="R11" i="3" s="1"/>
  <c r="C54" i="3"/>
  <c r="D54" i="3" s="1"/>
  <c r="E54" i="3" s="1"/>
  <c r="F54" i="3" s="1"/>
  <c r="G54" i="3" s="1"/>
  <c r="H54" i="3" s="1"/>
  <c r="I54" i="3" s="1"/>
  <c r="J54" i="3" s="1"/>
  <c r="K54" i="3" s="1"/>
  <c r="L54" i="3" s="1"/>
  <c r="M54" i="3" s="1"/>
  <c r="N54" i="3" s="1"/>
  <c r="O54" i="3" s="1"/>
  <c r="P54" i="3" s="1"/>
  <c r="Q54" i="3" s="1"/>
  <c r="R54" i="3" s="1"/>
  <c r="C16" i="3"/>
  <c r="C65" i="3"/>
  <c r="D84" i="3"/>
  <c r="C37" i="3"/>
  <c r="E62" i="3"/>
  <c r="D19" i="3"/>
  <c r="C43" i="3"/>
  <c r="C63" i="3"/>
  <c r="C61" i="3"/>
  <c r="D40" i="3"/>
  <c r="D37" i="3"/>
  <c r="C39" i="3"/>
  <c r="D65" i="3"/>
  <c r="C34" i="3"/>
  <c r="C35" i="3" s="1"/>
  <c r="D39" i="3"/>
  <c r="B13" i="3"/>
  <c r="B14" i="3" s="1"/>
  <c r="B11" i="1"/>
  <c r="B22" i="1"/>
  <c r="D22" i="1"/>
  <c r="D11" i="1"/>
  <c r="C18" i="3" l="1"/>
  <c r="C13" i="3"/>
  <c r="C14" i="3" s="1"/>
  <c r="C59" i="3"/>
  <c r="S54" i="3"/>
  <c r="R65" i="3"/>
  <c r="R63" i="3"/>
  <c r="S11" i="3"/>
  <c r="T11" i="3" s="1"/>
  <c r="U11" i="3" s="1"/>
  <c r="V11" i="3" s="1"/>
  <c r="W11" i="3" s="1"/>
  <c r="X11" i="3" s="1"/>
  <c r="Y11" i="3" s="1"/>
  <c r="Z11" i="3" s="1"/>
  <c r="AA11" i="3" s="1"/>
  <c r="AB11" i="3" s="1"/>
  <c r="AC11" i="3" s="1"/>
  <c r="AD11" i="3" s="1"/>
  <c r="AE11" i="3" s="1"/>
  <c r="R22" i="3"/>
  <c r="R20" i="3"/>
  <c r="D20" i="3"/>
  <c r="R87" i="3"/>
  <c r="R85" i="3"/>
  <c r="C22" i="3"/>
  <c r="C20" i="3"/>
  <c r="C41" i="3"/>
  <c r="E84" i="3"/>
  <c r="C85" i="3"/>
  <c r="C81" i="3"/>
  <c r="C83" i="3"/>
  <c r="C78" i="3"/>
  <c r="C79" i="3" s="1"/>
  <c r="C87" i="3"/>
  <c r="D43" i="3"/>
  <c r="C66" i="3"/>
  <c r="D16" i="3"/>
  <c r="D22" i="3"/>
  <c r="D63" i="3"/>
  <c r="D59" i="3"/>
  <c r="D61" i="3"/>
  <c r="F62" i="3"/>
  <c r="E19" i="3"/>
  <c r="E40" i="3"/>
  <c r="D34" i="3"/>
  <c r="D35" i="3" s="1"/>
  <c r="D41" i="3"/>
  <c r="D42" i="3" s="1"/>
  <c r="D18" i="3"/>
  <c r="D21" i="3" s="1"/>
  <c r="E20" i="3"/>
  <c r="E41" i="3"/>
  <c r="D13" i="3"/>
  <c r="D14" i="3" s="1"/>
  <c r="B25" i="3"/>
  <c r="C56" i="3"/>
  <c r="C57" i="3" s="1"/>
  <c r="C68" i="3" s="1"/>
  <c r="C67" i="3" s="1"/>
  <c r="D56" i="3"/>
  <c r="D57" i="3" s="1"/>
  <c r="B56" i="3"/>
  <c r="B57" i="3" s="1"/>
  <c r="B68" i="3" s="1"/>
  <c r="B67" i="3" s="1"/>
  <c r="C21" i="3" l="1"/>
  <c r="B21" i="3" s="1"/>
  <c r="C42" i="3"/>
  <c r="B42" i="3" s="1"/>
  <c r="T54" i="3"/>
  <c r="U54" i="3" s="1"/>
  <c r="V54" i="3" s="1"/>
  <c r="W54" i="3" s="1"/>
  <c r="X54" i="3" s="1"/>
  <c r="Y54" i="3" s="1"/>
  <c r="Z54" i="3" s="1"/>
  <c r="AA54" i="3" s="1"/>
  <c r="AB54" i="3" s="1"/>
  <c r="AC54" i="3" s="1"/>
  <c r="AD54" i="3" s="1"/>
  <c r="AE54" i="3" s="1"/>
  <c r="S65" i="3"/>
  <c r="S63" i="3"/>
  <c r="C46" i="3"/>
  <c r="B44" i="3"/>
  <c r="C44" i="3"/>
  <c r="D85" i="3"/>
  <c r="D81" i="3"/>
  <c r="D83" i="3"/>
  <c r="D87" i="3"/>
  <c r="D78" i="3"/>
  <c r="D79" i="3" s="1"/>
  <c r="C88" i="3"/>
  <c r="C90" i="3"/>
  <c r="C89" i="3" s="1"/>
  <c r="F84" i="3"/>
  <c r="E43" i="3"/>
  <c r="E56" i="3"/>
  <c r="E57" i="3" s="1"/>
  <c r="E65" i="3"/>
  <c r="E37" i="3"/>
  <c r="D68" i="3"/>
  <c r="D67" i="3" s="1"/>
  <c r="D66" i="3"/>
  <c r="E22" i="3"/>
  <c r="G62" i="3"/>
  <c r="F19" i="3"/>
  <c r="F40" i="3"/>
  <c r="E63" i="3"/>
  <c r="E61" i="3"/>
  <c r="E59" i="3"/>
  <c r="E16" i="3"/>
  <c r="D44" i="3"/>
  <c r="E39" i="3"/>
  <c r="E42" i="3" s="1"/>
  <c r="F65" i="3"/>
  <c r="E18" i="3"/>
  <c r="E21" i="3" s="1"/>
  <c r="E34" i="3"/>
  <c r="E35" i="3" s="1"/>
  <c r="F20" i="3"/>
  <c r="F41" i="3"/>
  <c r="C25" i="3"/>
  <c r="E13" i="3"/>
  <c r="E14" i="3" s="1"/>
  <c r="B96" i="3"/>
  <c r="D88" i="3" l="1"/>
  <c r="D90" i="3"/>
  <c r="D89" i="3" s="1"/>
  <c r="D96" i="3" s="1"/>
  <c r="G84" i="3"/>
  <c r="E85" i="3"/>
  <c r="E87" i="3"/>
  <c r="E83" i="3"/>
  <c r="E78" i="3"/>
  <c r="E79" i="3" s="1"/>
  <c r="E81" i="3"/>
  <c r="E66" i="3"/>
  <c r="F16" i="3"/>
  <c r="E68" i="3"/>
  <c r="E67" i="3" s="1"/>
  <c r="E95" i="3" s="1"/>
  <c r="F63" i="3"/>
  <c r="F61" i="3"/>
  <c r="F59" i="3"/>
  <c r="G40" i="3"/>
  <c r="G19" i="3"/>
  <c r="F37" i="3"/>
  <c r="F22" i="3"/>
  <c r="F43" i="3"/>
  <c r="H62" i="3"/>
  <c r="E44" i="3"/>
  <c r="F18" i="3"/>
  <c r="F21" i="3" s="1"/>
  <c r="G65" i="3"/>
  <c r="F56" i="3"/>
  <c r="F57" i="3" s="1"/>
  <c r="F39" i="3"/>
  <c r="F42" i="3" s="1"/>
  <c r="F34" i="3"/>
  <c r="F35" i="3" s="1"/>
  <c r="G20" i="3"/>
  <c r="D25" i="3"/>
  <c r="D24" i="3" s="1"/>
  <c r="D5" i="4" s="1"/>
  <c r="G41" i="3"/>
  <c r="B24" i="3"/>
  <c r="B93" i="3" s="1"/>
  <c r="C23" i="3"/>
  <c r="D23" i="3"/>
  <c r="F13" i="3"/>
  <c r="F14" i="3" s="1"/>
  <c r="C24" i="3"/>
  <c r="C93" i="3" s="1"/>
  <c r="D95" i="3"/>
  <c r="D7" i="4"/>
  <c r="C8" i="4"/>
  <c r="C96" i="3"/>
  <c r="B8" i="4"/>
  <c r="C7" i="4"/>
  <c r="C95" i="3"/>
  <c r="B7" i="4"/>
  <c r="B95" i="3"/>
  <c r="F66" i="3" l="1"/>
  <c r="E88" i="3"/>
  <c r="E90" i="3"/>
  <c r="E89" i="3" s="1"/>
  <c r="H84" i="3"/>
  <c r="F85" i="3"/>
  <c r="F78" i="3"/>
  <c r="F79" i="3" s="1"/>
  <c r="F87" i="3"/>
  <c r="F83" i="3"/>
  <c r="F81" i="3"/>
  <c r="F68" i="3"/>
  <c r="F67" i="3" s="1"/>
  <c r="H19" i="3"/>
  <c r="G16" i="3"/>
  <c r="D8" i="4"/>
  <c r="I62" i="3"/>
  <c r="G22" i="3"/>
  <c r="G37" i="3"/>
  <c r="H40" i="3"/>
  <c r="G63" i="3"/>
  <c r="G59" i="3"/>
  <c r="G61" i="3"/>
  <c r="G43" i="3"/>
  <c r="G18" i="3"/>
  <c r="G21" i="3" s="1"/>
  <c r="E7" i="4"/>
  <c r="F44" i="3"/>
  <c r="H65" i="3"/>
  <c r="G56" i="3"/>
  <c r="G57" i="3" s="1"/>
  <c r="G39" i="3"/>
  <c r="G42" i="3" s="1"/>
  <c r="G34" i="3"/>
  <c r="G35" i="3" s="1"/>
  <c r="H20" i="3"/>
  <c r="D93" i="3"/>
  <c r="B23" i="3"/>
  <c r="E25" i="3"/>
  <c r="E24" i="3" s="1"/>
  <c r="E93" i="3" s="1"/>
  <c r="E23" i="3"/>
  <c r="H41" i="3"/>
  <c r="C5" i="4"/>
  <c r="B5" i="4"/>
  <c r="G66" i="3" l="1"/>
  <c r="F88" i="3"/>
  <c r="F90" i="3"/>
  <c r="F89" i="3" s="1"/>
  <c r="I84" i="3"/>
  <c r="G85" i="3"/>
  <c r="G78" i="3"/>
  <c r="G79" i="3" s="1"/>
  <c r="G81" i="3"/>
  <c r="G87" i="3"/>
  <c r="G83" i="3"/>
  <c r="H37" i="3"/>
  <c r="H43" i="3"/>
  <c r="G68" i="3"/>
  <c r="G67" i="3" s="1"/>
  <c r="G95" i="3" s="1"/>
  <c r="J62" i="3"/>
  <c r="I40" i="3"/>
  <c r="H63" i="3"/>
  <c r="H61" i="3"/>
  <c r="H59" i="3"/>
  <c r="H16" i="3"/>
  <c r="I19" i="3"/>
  <c r="H22" i="3"/>
  <c r="E8" i="4"/>
  <c r="E96" i="3"/>
  <c r="G44" i="3"/>
  <c r="H18" i="3"/>
  <c r="H21" i="3" s="1"/>
  <c r="I65" i="3"/>
  <c r="H56" i="3"/>
  <c r="H57" i="3" s="1"/>
  <c r="H39" i="3"/>
  <c r="H42" i="3" s="1"/>
  <c r="F7" i="4"/>
  <c r="F95" i="3"/>
  <c r="I20" i="3"/>
  <c r="H34" i="3"/>
  <c r="H35" i="3" s="1"/>
  <c r="E5" i="4"/>
  <c r="I41" i="3"/>
  <c r="F23" i="3"/>
  <c r="G13" i="3"/>
  <c r="G14" i="3" s="1"/>
  <c r="F25" i="3"/>
  <c r="F24" i="3" s="1"/>
  <c r="F5" i="4" s="1"/>
  <c r="H13" i="3"/>
  <c r="H14" i="3" s="1"/>
  <c r="D46" i="3"/>
  <c r="D45" i="3" s="1"/>
  <c r="H66" i="3" l="1"/>
  <c r="G88" i="3"/>
  <c r="G90" i="3"/>
  <c r="G89" i="3" s="1"/>
  <c r="G96" i="3" s="1"/>
  <c r="J84" i="3"/>
  <c r="H85" i="3"/>
  <c r="H81" i="3"/>
  <c r="H78" i="3"/>
  <c r="H79" i="3" s="1"/>
  <c r="H87" i="3"/>
  <c r="H83" i="3"/>
  <c r="I16" i="3"/>
  <c r="H68" i="3"/>
  <c r="H67" i="3" s="1"/>
  <c r="J19" i="3"/>
  <c r="I39" i="3"/>
  <c r="I42" i="3" s="1"/>
  <c r="I37" i="3"/>
  <c r="I22" i="3"/>
  <c r="I63" i="3"/>
  <c r="I59" i="3"/>
  <c r="I61" i="3"/>
  <c r="J40" i="3"/>
  <c r="K62" i="3"/>
  <c r="I43" i="3"/>
  <c r="F8" i="4"/>
  <c r="F96" i="3"/>
  <c r="G7" i="4"/>
  <c r="J65" i="3"/>
  <c r="I56" i="3"/>
  <c r="I57" i="3" s="1"/>
  <c r="H44" i="3"/>
  <c r="I34" i="3"/>
  <c r="I35" i="3" s="1"/>
  <c r="I18" i="3"/>
  <c r="I21" i="3" s="1"/>
  <c r="J20" i="3"/>
  <c r="G23" i="3"/>
  <c r="J37" i="3"/>
  <c r="F93" i="3"/>
  <c r="G25" i="3"/>
  <c r="G24" i="3" s="1"/>
  <c r="G5" i="4" s="1"/>
  <c r="B45" i="3"/>
  <c r="E46" i="3"/>
  <c r="E45" i="3" s="1"/>
  <c r="C45" i="3"/>
  <c r="D6" i="4"/>
  <c r="D9" i="4" s="1"/>
  <c r="D94" i="3"/>
  <c r="D97" i="3" s="1"/>
  <c r="D100" i="3" s="1"/>
  <c r="G8" i="4" l="1"/>
  <c r="I44" i="3"/>
  <c r="H90" i="3"/>
  <c r="H89" i="3" s="1"/>
  <c r="H96" i="3" s="1"/>
  <c r="H88" i="3"/>
  <c r="K84" i="3"/>
  <c r="I85" i="3"/>
  <c r="I83" i="3"/>
  <c r="I78" i="3"/>
  <c r="I79" i="3" s="1"/>
  <c r="I81" i="3"/>
  <c r="I87" i="3"/>
  <c r="J43" i="3"/>
  <c r="I66" i="3"/>
  <c r="I68" i="3"/>
  <c r="I67" i="3" s="1"/>
  <c r="J16" i="3"/>
  <c r="J63" i="3"/>
  <c r="J61" i="3"/>
  <c r="J59" i="3"/>
  <c r="J22" i="3"/>
  <c r="K19" i="3"/>
  <c r="K40" i="3"/>
  <c r="J39" i="3"/>
  <c r="J42" i="3" s="1"/>
  <c r="J18" i="3"/>
  <c r="J21" i="3" s="1"/>
  <c r="H7" i="4"/>
  <c r="H95" i="3"/>
  <c r="J34" i="3"/>
  <c r="J35" i="3" s="1"/>
  <c r="J41" i="3"/>
  <c r="K65" i="3"/>
  <c r="J56" i="3"/>
  <c r="J57" i="3" s="1"/>
  <c r="K20" i="3"/>
  <c r="K41" i="3"/>
  <c r="H23" i="3"/>
  <c r="I13" i="3"/>
  <c r="I14" i="3" s="1"/>
  <c r="G93" i="3"/>
  <c r="H25" i="3"/>
  <c r="H24" i="3" s="1"/>
  <c r="H5" i="4" s="1"/>
  <c r="B94" i="3"/>
  <c r="B97" i="3" s="1"/>
  <c r="B100" i="3" s="1"/>
  <c r="B6" i="4"/>
  <c r="B9" i="4" s="1"/>
  <c r="C94" i="3"/>
  <c r="C97" i="3" s="1"/>
  <c r="C100" i="3" s="1"/>
  <c r="C6" i="4"/>
  <c r="E6" i="4"/>
  <c r="E9" i="4" s="1"/>
  <c r="E94" i="3"/>
  <c r="E97" i="3" s="1"/>
  <c r="E100" i="3" s="1"/>
  <c r="D104" i="3"/>
  <c r="D101" i="3"/>
  <c r="D107" i="3" s="1"/>
  <c r="F46" i="3"/>
  <c r="F45" i="3" s="1"/>
  <c r="J13" i="3"/>
  <c r="J14" i="3" s="1"/>
  <c r="C9" i="4" l="1"/>
  <c r="C12" i="4" s="1"/>
  <c r="I90" i="3"/>
  <c r="I89" i="3" s="1"/>
  <c r="I96" i="3" s="1"/>
  <c r="I88" i="3"/>
  <c r="J85" i="3"/>
  <c r="J78" i="3"/>
  <c r="J79" i="3" s="1"/>
  <c r="J83" i="3"/>
  <c r="J87" i="3"/>
  <c r="J81" i="3"/>
  <c r="K22" i="3"/>
  <c r="H8" i="4"/>
  <c r="K37" i="3"/>
  <c r="J68" i="3"/>
  <c r="J67" i="3" s="1"/>
  <c r="J66" i="3"/>
  <c r="K43" i="3"/>
  <c r="K16" i="3"/>
  <c r="K63" i="3"/>
  <c r="K59" i="3"/>
  <c r="K61" i="3"/>
  <c r="L37" i="3"/>
  <c r="K18" i="3"/>
  <c r="K21" i="3" s="1"/>
  <c r="J44" i="3"/>
  <c r="L65" i="3"/>
  <c r="K56" i="3"/>
  <c r="K57" i="3" s="1"/>
  <c r="I7" i="4"/>
  <c r="I95" i="3"/>
  <c r="K39" i="3"/>
  <c r="K42" i="3" s="1"/>
  <c r="K34" i="3"/>
  <c r="K35" i="3" s="1"/>
  <c r="L22" i="3"/>
  <c r="I25" i="3"/>
  <c r="I24" i="3" s="1"/>
  <c r="I5" i="4" s="1"/>
  <c r="I23" i="3"/>
  <c r="H93" i="3"/>
  <c r="E104" i="3"/>
  <c r="E101" i="3"/>
  <c r="E107" i="3" s="1"/>
  <c r="F6" i="4"/>
  <c r="F9" i="4" s="1"/>
  <c r="F94" i="3"/>
  <c r="F97" i="3" s="1"/>
  <c r="F100" i="3" s="1"/>
  <c r="C104" i="3"/>
  <c r="C101" i="3"/>
  <c r="C107" i="3" s="1"/>
  <c r="G46" i="3"/>
  <c r="G45" i="3" s="1"/>
  <c r="B104" i="3"/>
  <c r="B101" i="3"/>
  <c r="B107" i="3" s="1"/>
  <c r="I8" i="4" l="1"/>
  <c r="K85" i="3"/>
  <c r="K87" i="3"/>
  <c r="K81" i="3"/>
  <c r="K83" i="3"/>
  <c r="K78" i="3"/>
  <c r="K79" i="3" s="1"/>
  <c r="J88" i="3"/>
  <c r="J90" i="3"/>
  <c r="J89" i="3" s="1"/>
  <c r="J96" i="3" s="1"/>
  <c r="L16" i="3"/>
  <c r="K66" i="3"/>
  <c r="K68" i="3"/>
  <c r="K67" i="3" s="1"/>
  <c r="L63" i="3"/>
  <c r="L61" i="3"/>
  <c r="L59" i="3"/>
  <c r="L39" i="3"/>
  <c r="L43" i="3"/>
  <c r="L18" i="3"/>
  <c r="K44" i="3"/>
  <c r="J7" i="4"/>
  <c r="J95" i="3"/>
  <c r="L20" i="3"/>
  <c r="L34" i="3"/>
  <c r="L35" i="3" s="1"/>
  <c r="L41" i="3"/>
  <c r="M65" i="3"/>
  <c r="L56" i="3"/>
  <c r="L57" i="3" s="1"/>
  <c r="J25" i="3"/>
  <c r="J24" i="3" s="1"/>
  <c r="J5" i="4" s="1"/>
  <c r="M43" i="3"/>
  <c r="I93" i="3"/>
  <c r="J23" i="3"/>
  <c r="K13" i="3"/>
  <c r="K14" i="3" s="1"/>
  <c r="H46" i="3"/>
  <c r="H45" i="3" s="1"/>
  <c r="F104" i="3"/>
  <c r="F101" i="3"/>
  <c r="F107" i="3" s="1"/>
  <c r="G94" i="3"/>
  <c r="G97" i="3" s="1"/>
  <c r="G100" i="3" s="1"/>
  <c r="G6" i="4"/>
  <c r="G9" i="4" s="1"/>
  <c r="L21" i="3" l="1"/>
  <c r="L42" i="3"/>
  <c r="L44" i="3" s="1"/>
  <c r="K88" i="3"/>
  <c r="K90" i="3"/>
  <c r="K89" i="3" s="1"/>
  <c r="K96" i="3" s="1"/>
  <c r="J8" i="4"/>
  <c r="L85" i="3"/>
  <c r="L87" i="3"/>
  <c r="L83" i="3"/>
  <c r="L81" i="3"/>
  <c r="L78" i="3"/>
  <c r="L79" i="3" s="1"/>
  <c r="L66" i="3"/>
  <c r="L68" i="3"/>
  <c r="L67" i="3" s="1"/>
  <c r="M37" i="3"/>
  <c r="M18" i="3"/>
  <c r="M22" i="3"/>
  <c r="M63" i="3"/>
  <c r="M59" i="3"/>
  <c r="M61" i="3"/>
  <c r="M16" i="3"/>
  <c r="M39" i="3"/>
  <c r="M20" i="3"/>
  <c r="M41" i="3"/>
  <c r="N65" i="3"/>
  <c r="M56" i="3"/>
  <c r="M57" i="3" s="1"/>
  <c r="K7" i="4"/>
  <c r="K95" i="3"/>
  <c r="N22" i="3"/>
  <c r="N43" i="3"/>
  <c r="M34" i="3"/>
  <c r="M35" i="3" s="1"/>
  <c r="J93" i="3"/>
  <c r="K23" i="3"/>
  <c r="K25" i="3"/>
  <c r="K24" i="3" s="1"/>
  <c r="L13" i="3"/>
  <c r="L14" i="3" s="1"/>
  <c r="H6" i="4"/>
  <c r="H9" i="4" s="1"/>
  <c r="H94" i="3"/>
  <c r="H97" i="3" s="1"/>
  <c r="H100" i="3" s="1"/>
  <c r="I46" i="3"/>
  <c r="I45" i="3" s="1"/>
  <c r="G101" i="3"/>
  <c r="G107" i="3" s="1"/>
  <c r="M21" i="3" l="1"/>
  <c r="M42" i="3"/>
  <c r="K8" i="4"/>
  <c r="L90" i="3"/>
  <c r="L89" i="3" s="1"/>
  <c r="L96" i="3" s="1"/>
  <c r="L88" i="3"/>
  <c r="M85" i="3"/>
  <c r="M87" i="3"/>
  <c r="M83" i="3"/>
  <c r="M78" i="3"/>
  <c r="M79" i="3" s="1"/>
  <c r="M81" i="3"/>
  <c r="M68" i="3"/>
  <c r="M67" i="3" s="1"/>
  <c r="M66" i="3"/>
  <c r="N63" i="3"/>
  <c r="N59" i="3"/>
  <c r="N61" i="3"/>
  <c r="N16" i="3"/>
  <c r="N37" i="3"/>
  <c r="N18" i="3"/>
  <c r="L7" i="4"/>
  <c r="L95" i="3"/>
  <c r="N41" i="3"/>
  <c r="N20" i="3"/>
  <c r="O65" i="3"/>
  <c r="N56" i="3"/>
  <c r="N57" i="3" s="1"/>
  <c r="N39" i="3"/>
  <c r="M44" i="3"/>
  <c r="O43" i="3"/>
  <c r="O22" i="3"/>
  <c r="N34" i="3"/>
  <c r="N35" i="3" s="1"/>
  <c r="M13" i="3"/>
  <c r="M14" i="3" s="1"/>
  <c r="L25" i="3"/>
  <c r="L24" i="3" s="1"/>
  <c r="L5" i="4" s="1"/>
  <c r="K93" i="3"/>
  <c r="K5" i="4"/>
  <c r="M23" i="3"/>
  <c r="L23" i="3"/>
  <c r="I94" i="3"/>
  <c r="I97" i="3" s="1"/>
  <c r="I100" i="3" s="1"/>
  <c r="I6" i="4"/>
  <c r="I9" i="4" s="1"/>
  <c r="H104" i="3"/>
  <c r="J46" i="3"/>
  <c r="J45" i="3" s="1"/>
  <c r="G104" i="3"/>
  <c r="N21" i="3" l="1"/>
  <c r="L8" i="4"/>
  <c r="N42" i="3"/>
  <c r="N44" i="3" s="1"/>
  <c r="N85" i="3"/>
  <c r="N87" i="3"/>
  <c r="N83" i="3"/>
  <c r="N78" i="3"/>
  <c r="N79" i="3" s="1"/>
  <c r="N81" i="3"/>
  <c r="M88" i="3"/>
  <c r="M90" i="3"/>
  <c r="M89" i="3" s="1"/>
  <c r="M96" i="3" s="1"/>
  <c r="N68" i="3"/>
  <c r="N67" i="3" s="1"/>
  <c r="N95" i="3" s="1"/>
  <c r="N66" i="3"/>
  <c r="O37" i="3"/>
  <c r="O16" i="3"/>
  <c r="O63" i="3"/>
  <c r="O59" i="3"/>
  <c r="O61" i="3"/>
  <c r="O20" i="3"/>
  <c r="P65" i="3"/>
  <c r="O56" i="3"/>
  <c r="O57" i="3" s="1"/>
  <c r="M7" i="4"/>
  <c r="M95" i="3"/>
  <c r="O41" i="3"/>
  <c r="O18" i="3"/>
  <c r="O39" i="3"/>
  <c r="P43" i="3"/>
  <c r="P22" i="3"/>
  <c r="O34" i="3"/>
  <c r="O35" i="3" s="1"/>
  <c r="L93" i="3"/>
  <c r="M25" i="3"/>
  <c r="M24" i="3" s="1"/>
  <c r="M93" i="3" s="1"/>
  <c r="N23" i="3"/>
  <c r="N13" i="3"/>
  <c r="N14" i="3" s="1"/>
  <c r="J94" i="3"/>
  <c r="J97" i="3" s="1"/>
  <c r="J100" i="3" s="1"/>
  <c r="J6" i="4"/>
  <c r="J9" i="4" s="1"/>
  <c r="H101" i="3"/>
  <c r="H107" i="3" s="1"/>
  <c r="K46" i="3"/>
  <c r="K45" i="3" s="1"/>
  <c r="I104" i="3"/>
  <c r="I101" i="3"/>
  <c r="I107" i="3" s="1"/>
  <c r="O42" i="3" l="1"/>
  <c r="O21" i="3"/>
  <c r="M8" i="4"/>
  <c r="N88" i="3"/>
  <c r="N90" i="3"/>
  <c r="N89" i="3" s="1"/>
  <c r="N8" i="4" s="1"/>
  <c r="O85" i="3"/>
  <c r="O87" i="3"/>
  <c r="O83" i="3"/>
  <c r="O78" i="3"/>
  <c r="O79" i="3" s="1"/>
  <c r="O81" i="3"/>
  <c r="O66" i="3"/>
  <c r="O68" i="3"/>
  <c r="O67" i="3" s="1"/>
  <c r="O7" i="4" s="1"/>
  <c r="P63" i="3"/>
  <c r="P61" i="3"/>
  <c r="P59" i="3"/>
  <c r="P16" i="3"/>
  <c r="P37" i="3"/>
  <c r="P39" i="3"/>
  <c r="N7" i="4"/>
  <c r="O44" i="3"/>
  <c r="P41" i="3"/>
  <c r="P20" i="3"/>
  <c r="P18" i="3"/>
  <c r="P21" i="3" s="1"/>
  <c r="Q65" i="3"/>
  <c r="P56" i="3"/>
  <c r="P57" i="3" s="1"/>
  <c r="Q37" i="3"/>
  <c r="P34" i="3"/>
  <c r="P35" i="3" s="1"/>
  <c r="Q22" i="3"/>
  <c r="M5" i="4"/>
  <c r="N25" i="3"/>
  <c r="N24" i="3" s="1"/>
  <c r="N93" i="3" s="1"/>
  <c r="O13" i="3"/>
  <c r="O14" i="3" s="1"/>
  <c r="J104" i="3"/>
  <c r="K94" i="3"/>
  <c r="K97" i="3" s="1"/>
  <c r="K100" i="3" s="1"/>
  <c r="K6" i="4"/>
  <c r="K9" i="4" s="1"/>
  <c r="L46" i="3"/>
  <c r="L45" i="3" s="1"/>
  <c r="P42" i="3" l="1"/>
  <c r="P85" i="3"/>
  <c r="P87" i="3"/>
  <c r="P81" i="3"/>
  <c r="P78" i="3"/>
  <c r="P79" i="3" s="1"/>
  <c r="P83" i="3"/>
  <c r="N96" i="3"/>
  <c r="O88" i="3"/>
  <c r="O90" i="3"/>
  <c r="O89" i="3" s="1"/>
  <c r="O8" i="4" s="1"/>
  <c r="P66" i="3"/>
  <c r="P68" i="3"/>
  <c r="P67" i="3" s="1"/>
  <c r="P44" i="3"/>
  <c r="Q63" i="3"/>
  <c r="Q59" i="3"/>
  <c r="Q61" i="3"/>
  <c r="Q34" i="3"/>
  <c r="Q35" i="3" s="1"/>
  <c r="Q43" i="3"/>
  <c r="Q16" i="3"/>
  <c r="O95" i="3"/>
  <c r="Q20" i="3"/>
  <c r="Q56" i="3"/>
  <c r="Q57" i="3" s="1"/>
  <c r="Q41" i="3"/>
  <c r="Q39" i="3"/>
  <c r="Q18" i="3"/>
  <c r="Q21" i="3" s="1"/>
  <c r="O25" i="3"/>
  <c r="O24" i="3" s="1"/>
  <c r="O5" i="4" s="1"/>
  <c r="N5" i="4"/>
  <c r="P13" i="3"/>
  <c r="P14" i="3" s="1"/>
  <c r="O23" i="3"/>
  <c r="M46" i="3"/>
  <c r="M45" i="3" s="1"/>
  <c r="J101" i="3"/>
  <c r="J107" i="3" s="1"/>
  <c r="K104" i="3"/>
  <c r="K101" i="3"/>
  <c r="K107" i="3" s="1"/>
  <c r="L6" i="4"/>
  <c r="L9" i="4" s="1"/>
  <c r="L94" i="3"/>
  <c r="L97" i="3" s="1"/>
  <c r="L100" i="3" s="1"/>
  <c r="Q42" i="3" l="1"/>
  <c r="O96" i="3"/>
  <c r="S37" i="3"/>
  <c r="P90" i="3"/>
  <c r="P89" i="3" s="1"/>
  <c r="P96" i="3" s="1"/>
  <c r="P88" i="3"/>
  <c r="Q85" i="3"/>
  <c r="Q87" i="3"/>
  <c r="Q83" i="3"/>
  <c r="Q81" i="3"/>
  <c r="Q78" i="3"/>
  <c r="Q79" i="3" s="1"/>
  <c r="Q68" i="3"/>
  <c r="Q67" i="3" s="1"/>
  <c r="Q66" i="3"/>
  <c r="R16" i="3"/>
  <c r="R37" i="3"/>
  <c r="R44" i="3" s="1"/>
  <c r="R59" i="3"/>
  <c r="R61" i="3"/>
  <c r="S16" i="3"/>
  <c r="R39" i="3"/>
  <c r="R42" i="3" s="1"/>
  <c r="S39" i="3"/>
  <c r="S42" i="3" s="1"/>
  <c r="Q44" i="3"/>
  <c r="R56" i="3"/>
  <c r="R57" i="3" s="1"/>
  <c r="S18" i="3"/>
  <c r="S21" i="3" s="1"/>
  <c r="P7" i="4"/>
  <c r="P95" i="3"/>
  <c r="R18" i="3"/>
  <c r="R21" i="3" s="1"/>
  <c r="S34" i="3"/>
  <c r="S35" i="3" s="1"/>
  <c r="R34" i="3"/>
  <c r="R35" i="3" s="1"/>
  <c r="T16" i="3"/>
  <c r="T37" i="3"/>
  <c r="O93" i="3"/>
  <c r="P25" i="3"/>
  <c r="P24" i="3" s="1"/>
  <c r="Q23" i="3"/>
  <c r="Q13" i="3"/>
  <c r="Q14" i="3" s="1"/>
  <c r="P23" i="3"/>
  <c r="N46" i="3"/>
  <c r="N45" i="3" s="1"/>
  <c r="L104" i="3"/>
  <c r="L101" i="3"/>
  <c r="L107" i="3" s="1"/>
  <c r="M6" i="4"/>
  <c r="M9" i="4" s="1"/>
  <c r="M94" i="3"/>
  <c r="M97" i="3" s="1"/>
  <c r="M100" i="3" s="1"/>
  <c r="P8" i="4" l="1"/>
  <c r="Q90" i="3"/>
  <c r="Q89" i="3" s="1"/>
  <c r="Q88" i="3"/>
  <c r="R83" i="3"/>
  <c r="R78" i="3"/>
  <c r="R79" i="3" s="1"/>
  <c r="R81" i="3"/>
  <c r="R66" i="3"/>
  <c r="R68" i="3"/>
  <c r="R67" i="3" s="1"/>
  <c r="S61" i="3"/>
  <c r="S59" i="3"/>
  <c r="S44" i="3"/>
  <c r="T18" i="3"/>
  <c r="T21" i="3" s="1"/>
  <c r="Q7" i="4"/>
  <c r="Q95" i="3"/>
  <c r="S56" i="3"/>
  <c r="S57" i="3" s="1"/>
  <c r="T39" i="3"/>
  <c r="T42" i="3" s="1"/>
  <c r="U16" i="3"/>
  <c r="T34" i="3"/>
  <c r="T35" i="3" s="1"/>
  <c r="U37" i="3"/>
  <c r="Q25" i="3"/>
  <c r="Q24" i="3" s="1"/>
  <c r="Q5" i="4" s="1"/>
  <c r="S13" i="3"/>
  <c r="S14" i="3" s="1"/>
  <c r="P5" i="4"/>
  <c r="P93" i="3"/>
  <c r="R13" i="3"/>
  <c r="R14" i="3" s="1"/>
  <c r="O46" i="3"/>
  <c r="O45" i="3" s="1"/>
  <c r="M104" i="3"/>
  <c r="N94" i="3"/>
  <c r="N97" i="3" s="1"/>
  <c r="N100" i="3" s="1"/>
  <c r="N6" i="4"/>
  <c r="N9" i="4" s="1"/>
  <c r="S83" i="3" l="1"/>
  <c r="S81" i="3"/>
  <c r="S78" i="3"/>
  <c r="S79" i="3" s="1"/>
  <c r="R88" i="3"/>
  <c r="R90" i="3"/>
  <c r="R89" i="3" s="1"/>
  <c r="S66" i="3"/>
  <c r="S68" i="3"/>
  <c r="S67" i="3" s="1"/>
  <c r="T61" i="3"/>
  <c r="T59" i="3"/>
  <c r="Q96" i="3"/>
  <c r="Q8" i="4"/>
  <c r="T44" i="3"/>
  <c r="U39" i="3"/>
  <c r="U42" i="3" s="1"/>
  <c r="R7" i="4"/>
  <c r="R95" i="3"/>
  <c r="U18" i="3"/>
  <c r="U21" i="3" s="1"/>
  <c r="T56" i="3"/>
  <c r="T57" i="3" s="1"/>
  <c r="U34" i="3"/>
  <c r="U35" i="3" s="1"/>
  <c r="V16" i="3"/>
  <c r="V37" i="3"/>
  <c r="Q93" i="3"/>
  <c r="S23" i="3"/>
  <c r="S25" i="3"/>
  <c r="S24" i="3" s="1"/>
  <c r="R25" i="3"/>
  <c r="R24" i="3" s="1"/>
  <c r="R23" i="3"/>
  <c r="T13" i="3"/>
  <c r="T14" i="3" s="1"/>
  <c r="P46" i="3"/>
  <c r="P45" i="3" s="1"/>
  <c r="N104" i="3"/>
  <c r="M101" i="3"/>
  <c r="M107" i="3" s="1"/>
  <c r="O94" i="3"/>
  <c r="O97" i="3" s="1"/>
  <c r="O100" i="3" s="1"/>
  <c r="O6" i="4"/>
  <c r="O9" i="4" s="1"/>
  <c r="S90" i="3" l="1"/>
  <c r="S89" i="3" s="1"/>
  <c r="S88" i="3"/>
  <c r="T83" i="3"/>
  <c r="T78" i="3"/>
  <c r="T79" i="3" s="1"/>
  <c r="T81" i="3"/>
  <c r="T66" i="3"/>
  <c r="T68" i="3"/>
  <c r="T67" i="3" s="1"/>
  <c r="U59" i="3"/>
  <c r="U61" i="3"/>
  <c r="R8" i="4"/>
  <c r="R96" i="3"/>
  <c r="U44" i="3"/>
  <c r="U56" i="3"/>
  <c r="U57" i="3" s="1"/>
  <c r="S7" i="4"/>
  <c r="S95" i="3"/>
  <c r="V18" i="3"/>
  <c r="V21" i="3" s="1"/>
  <c r="V39" i="3"/>
  <c r="V34" i="3"/>
  <c r="V35" i="3" s="1"/>
  <c r="W16" i="3"/>
  <c r="W37" i="3"/>
  <c r="U13" i="3"/>
  <c r="U14" i="3" s="1"/>
  <c r="T25" i="3"/>
  <c r="T24" i="3" s="1"/>
  <c r="T23" i="3"/>
  <c r="R93" i="3"/>
  <c r="R5" i="4"/>
  <c r="S5" i="4"/>
  <c r="S93" i="3"/>
  <c r="O104" i="3"/>
  <c r="O101" i="3"/>
  <c r="O107" i="3" s="1"/>
  <c r="P94" i="3"/>
  <c r="P97" i="3" s="1"/>
  <c r="P100" i="3" s="1"/>
  <c r="P6" i="4"/>
  <c r="P9" i="4" s="1"/>
  <c r="N101" i="3"/>
  <c r="N107" i="3" s="1"/>
  <c r="Q46" i="3"/>
  <c r="Q45" i="3" s="1"/>
  <c r="V42" i="3" l="1"/>
  <c r="V44" i="3" s="1"/>
  <c r="U83" i="3"/>
  <c r="U78" i="3"/>
  <c r="U79" i="3" s="1"/>
  <c r="U81" i="3"/>
  <c r="T88" i="3"/>
  <c r="T90" i="3"/>
  <c r="T89" i="3" s="1"/>
  <c r="T96" i="3" s="1"/>
  <c r="U66" i="3"/>
  <c r="U68" i="3"/>
  <c r="U67" i="3" s="1"/>
  <c r="V61" i="3"/>
  <c r="V59" i="3"/>
  <c r="S96" i="3"/>
  <c r="S8" i="4"/>
  <c r="W39" i="3"/>
  <c r="W18" i="3"/>
  <c r="W21" i="3" s="1"/>
  <c r="T7" i="4"/>
  <c r="T95" i="3"/>
  <c r="V56" i="3"/>
  <c r="V57" i="3" s="1"/>
  <c r="W34" i="3"/>
  <c r="W35" i="3" s="1"/>
  <c r="X16" i="3"/>
  <c r="X37" i="3"/>
  <c r="U23" i="3"/>
  <c r="U25" i="3"/>
  <c r="U24" i="3" s="1"/>
  <c r="T5" i="4"/>
  <c r="T93" i="3"/>
  <c r="V13" i="3"/>
  <c r="V14" i="3" s="1"/>
  <c r="R46" i="3"/>
  <c r="R45" i="3" s="1"/>
  <c r="P104" i="3"/>
  <c r="P101" i="3"/>
  <c r="P107" i="3" s="1"/>
  <c r="Q6" i="4"/>
  <c r="Q9" i="4" s="1"/>
  <c r="Q94" i="3"/>
  <c r="Q97" i="3" s="1"/>
  <c r="Q100" i="3" s="1"/>
  <c r="W42" i="3" l="1"/>
  <c r="W44" i="3" s="1"/>
  <c r="T8" i="4"/>
  <c r="U88" i="3"/>
  <c r="U90" i="3"/>
  <c r="U89" i="3" s="1"/>
  <c r="V83" i="3"/>
  <c r="V78" i="3"/>
  <c r="V79" i="3" s="1"/>
  <c r="V81" i="3"/>
  <c r="V66" i="3"/>
  <c r="V68" i="3"/>
  <c r="V67" i="3" s="1"/>
  <c r="V7" i="4" s="1"/>
  <c r="W61" i="3"/>
  <c r="W59" i="3"/>
  <c r="W56" i="3"/>
  <c r="W57" i="3" s="1"/>
  <c r="X39" i="3"/>
  <c r="X18" i="3"/>
  <c r="X21" i="3" s="1"/>
  <c r="U95" i="3"/>
  <c r="U7" i="4"/>
  <c r="Y16" i="3"/>
  <c r="X34" i="3"/>
  <c r="X35" i="3" s="1"/>
  <c r="Y37" i="3"/>
  <c r="V25" i="3"/>
  <c r="V24" i="3" s="1"/>
  <c r="V23" i="3"/>
  <c r="W13" i="3"/>
  <c r="W14" i="3" s="1"/>
  <c r="U5" i="4"/>
  <c r="U93" i="3"/>
  <c r="S46" i="3"/>
  <c r="S45" i="3" s="1"/>
  <c r="Q104" i="3"/>
  <c r="Q101" i="3"/>
  <c r="Q107" i="3" s="1"/>
  <c r="R6" i="4"/>
  <c r="R9" i="4" s="1"/>
  <c r="R94" i="3"/>
  <c r="R97" i="3" s="1"/>
  <c r="R100" i="3" s="1"/>
  <c r="X42" i="3" l="1"/>
  <c r="X44" i="3" s="1"/>
  <c r="V88" i="3"/>
  <c r="V90" i="3"/>
  <c r="V89" i="3" s="1"/>
  <c r="V8" i="4" s="1"/>
  <c r="W83" i="3"/>
  <c r="W81" i="3"/>
  <c r="W78" i="3"/>
  <c r="W79" i="3" s="1"/>
  <c r="W66" i="3"/>
  <c r="W68" i="3"/>
  <c r="W67" i="3" s="1"/>
  <c r="W7" i="4" s="1"/>
  <c r="X59" i="3"/>
  <c r="X61" i="3"/>
  <c r="V95" i="3"/>
  <c r="U8" i="4"/>
  <c r="U96" i="3"/>
  <c r="Y18" i="3"/>
  <c r="Y21" i="3" s="1"/>
  <c r="X56" i="3"/>
  <c r="X57" i="3" s="1"/>
  <c r="Y39" i="3"/>
  <c r="Y42" i="3" s="1"/>
  <c r="Y34" i="3"/>
  <c r="Y35" i="3" s="1"/>
  <c r="Z16" i="3"/>
  <c r="Z37" i="3"/>
  <c r="W23" i="3"/>
  <c r="W25" i="3"/>
  <c r="W24" i="3" s="1"/>
  <c r="X13" i="3"/>
  <c r="X14" i="3" s="1"/>
  <c r="V93" i="3"/>
  <c r="V5" i="4"/>
  <c r="T46" i="3"/>
  <c r="T45" i="3" s="1"/>
  <c r="R104" i="3"/>
  <c r="R101" i="3"/>
  <c r="R107" i="3" s="1"/>
  <c r="S6" i="4"/>
  <c r="S9" i="4" s="1"/>
  <c r="S94" i="3"/>
  <c r="S97" i="3" s="1"/>
  <c r="S100" i="3" s="1"/>
  <c r="X81" i="3" l="1"/>
  <c r="X78" i="3"/>
  <c r="X79" i="3" s="1"/>
  <c r="X83" i="3"/>
  <c r="W88" i="3"/>
  <c r="W90" i="3"/>
  <c r="W89" i="3" s="1"/>
  <c r="W96" i="3" s="1"/>
  <c r="X66" i="3"/>
  <c r="X68" i="3"/>
  <c r="X67" i="3" s="1"/>
  <c r="Y61" i="3"/>
  <c r="Y59" i="3"/>
  <c r="V96" i="3"/>
  <c r="W95" i="3"/>
  <c r="Y44" i="3"/>
  <c r="Z39" i="3"/>
  <c r="Y56" i="3"/>
  <c r="Y57" i="3" s="1"/>
  <c r="Z18" i="3"/>
  <c r="Z21" i="3" s="1"/>
  <c r="AA16" i="3"/>
  <c r="Z34" i="3"/>
  <c r="Z35" i="3" s="1"/>
  <c r="AA37" i="3"/>
  <c r="X25" i="3"/>
  <c r="X24" i="3" s="1"/>
  <c r="X23" i="3"/>
  <c r="Y13" i="3"/>
  <c r="Y14" i="3" s="1"/>
  <c r="W5" i="4"/>
  <c r="W93" i="3"/>
  <c r="U46" i="3"/>
  <c r="U45" i="3" s="1"/>
  <c r="S104" i="3"/>
  <c r="T6" i="4"/>
  <c r="T9" i="4" s="1"/>
  <c r="T94" i="3"/>
  <c r="T97" i="3" s="1"/>
  <c r="T100" i="3" s="1"/>
  <c r="Z42" i="3" l="1"/>
  <c r="Z44" i="3" s="1"/>
  <c r="X88" i="3"/>
  <c r="W8" i="4"/>
  <c r="X90" i="3"/>
  <c r="X89" i="3" s="1"/>
  <c r="X96" i="3" s="1"/>
  <c r="Y83" i="3"/>
  <c r="Y81" i="3"/>
  <c r="Y78" i="3"/>
  <c r="Y79" i="3" s="1"/>
  <c r="Y66" i="3"/>
  <c r="Y68" i="3"/>
  <c r="Y67" i="3" s="1"/>
  <c r="Z61" i="3"/>
  <c r="Z59" i="3"/>
  <c r="Z56" i="3"/>
  <c r="Z57" i="3" s="1"/>
  <c r="AA18" i="3"/>
  <c r="AA21" i="3" s="1"/>
  <c r="AA39" i="3"/>
  <c r="AA42" i="3" s="1"/>
  <c r="X7" i="4"/>
  <c r="X95" i="3"/>
  <c r="AA34" i="3"/>
  <c r="AA35" i="3" s="1"/>
  <c r="AB16" i="3"/>
  <c r="AB37" i="3"/>
  <c r="Z13" i="3"/>
  <c r="Z14" i="3" s="1"/>
  <c r="Y23" i="3"/>
  <c r="Y25" i="3"/>
  <c r="Y24" i="3" s="1"/>
  <c r="X5" i="4"/>
  <c r="X93" i="3"/>
  <c r="T101" i="3"/>
  <c r="T107" i="3" s="1"/>
  <c r="U6" i="4"/>
  <c r="U9" i="4" s="1"/>
  <c r="U94" i="3"/>
  <c r="U97" i="3" s="1"/>
  <c r="U100" i="3" s="1"/>
  <c r="S101" i="3"/>
  <c r="S107" i="3" s="1"/>
  <c r="V46" i="3"/>
  <c r="V45" i="3" s="1"/>
  <c r="X8" i="4" l="1"/>
  <c r="Y88" i="3"/>
  <c r="Y90" i="3"/>
  <c r="Y89" i="3" s="1"/>
  <c r="Y96" i="3" s="1"/>
  <c r="Z81" i="3"/>
  <c r="Z78" i="3"/>
  <c r="Z79" i="3" s="1"/>
  <c r="Z83" i="3"/>
  <c r="Z66" i="3"/>
  <c r="Z68" i="3"/>
  <c r="Z67" i="3" s="1"/>
  <c r="AA61" i="3"/>
  <c r="AA59" i="3"/>
  <c r="AA44" i="3"/>
  <c r="AB18" i="3"/>
  <c r="AB21" i="3" s="1"/>
  <c r="AA56" i="3"/>
  <c r="AA57" i="3" s="1"/>
  <c r="Y95" i="3"/>
  <c r="Y7" i="4"/>
  <c r="AB39" i="3"/>
  <c r="AB42" i="3" s="1"/>
  <c r="AC16" i="3"/>
  <c r="AB34" i="3"/>
  <c r="AB35" i="3" s="1"/>
  <c r="AC37" i="3"/>
  <c r="Y93" i="3"/>
  <c r="Y5" i="4"/>
  <c r="Z25" i="3"/>
  <c r="Z24" i="3" s="1"/>
  <c r="Z23" i="3"/>
  <c r="AA13" i="3"/>
  <c r="AA14" i="3" s="1"/>
  <c r="U104" i="3"/>
  <c r="U101" i="3"/>
  <c r="U107" i="3" s="1"/>
  <c r="T104" i="3"/>
  <c r="V6" i="4"/>
  <c r="V9" i="4" s="1"/>
  <c r="V94" i="3"/>
  <c r="V97" i="3" s="1"/>
  <c r="V100" i="3" s="1"/>
  <c r="W46" i="3"/>
  <c r="W45" i="3" s="1"/>
  <c r="Y8" i="4" l="1"/>
  <c r="AA83" i="3"/>
  <c r="AA78" i="3"/>
  <c r="AA79" i="3" s="1"/>
  <c r="AA81" i="3"/>
  <c r="AA88" i="3" s="1"/>
  <c r="Z88" i="3"/>
  <c r="Z90" i="3"/>
  <c r="Z89" i="3" s="1"/>
  <c r="AA66" i="3"/>
  <c r="AA68" i="3"/>
  <c r="AA67" i="3" s="1"/>
  <c r="AB61" i="3"/>
  <c r="AB59" i="3"/>
  <c r="AB56" i="3"/>
  <c r="AB57" i="3" s="1"/>
  <c r="AC18" i="3"/>
  <c r="AC21" i="3" s="1"/>
  <c r="Z7" i="4"/>
  <c r="Z95" i="3"/>
  <c r="AC39" i="3"/>
  <c r="AC42" i="3" s="1"/>
  <c r="AB44" i="3"/>
  <c r="AC34" i="3"/>
  <c r="AC35" i="3" s="1"/>
  <c r="AD16" i="3"/>
  <c r="AD37" i="3"/>
  <c r="AA23" i="3"/>
  <c r="AA25" i="3"/>
  <c r="AA24" i="3" s="1"/>
  <c r="AB13" i="3"/>
  <c r="AB14" i="3" s="1"/>
  <c r="Z5" i="4"/>
  <c r="Z93" i="3"/>
  <c r="V104" i="3"/>
  <c r="V101" i="3"/>
  <c r="V107" i="3" s="1"/>
  <c r="X46" i="3"/>
  <c r="X45" i="3" s="1"/>
  <c r="W6" i="4"/>
  <c r="W9" i="4" s="1"/>
  <c r="W94" i="3"/>
  <c r="W97" i="3" s="1"/>
  <c r="W100" i="3" s="1"/>
  <c r="AA90" i="3" l="1"/>
  <c r="AA89" i="3" s="1"/>
  <c r="AB81" i="3"/>
  <c r="AB78" i="3"/>
  <c r="AB79" i="3" s="1"/>
  <c r="AB83" i="3"/>
  <c r="AB68" i="3"/>
  <c r="AB67" i="3" s="1"/>
  <c r="AB66" i="3"/>
  <c r="AC59" i="3"/>
  <c r="AC61" i="3"/>
  <c r="Z8" i="4"/>
  <c r="Z96" i="3"/>
  <c r="AA95" i="3"/>
  <c r="AA7" i="4"/>
  <c r="AD39" i="3"/>
  <c r="AD42" i="3" s="1"/>
  <c r="AD18" i="3"/>
  <c r="AD21" i="3" s="1"/>
  <c r="AC44" i="3"/>
  <c r="AC56" i="3"/>
  <c r="AC57" i="3" s="1"/>
  <c r="AE16" i="3"/>
  <c r="AD34" i="3"/>
  <c r="AD35" i="3" s="1"/>
  <c r="AE37" i="3"/>
  <c r="AB25" i="3"/>
  <c r="AB24" i="3" s="1"/>
  <c r="AB23" i="3"/>
  <c r="AA5" i="4"/>
  <c r="AA93" i="3"/>
  <c r="AC13" i="3"/>
  <c r="AC14" i="3" s="1"/>
  <c r="W104" i="3"/>
  <c r="W101" i="3"/>
  <c r="W107" i="3" s="1"/>
  <c r="Y46" i="3"/>
  <c r="Y45" i="3" s="1"/>
  <c r="X6" i="4"/>
  <c r="X9" i="4" s="1"/>
  <c r="X94" i="3"/>
  <c r="X97" i="3" s="1"/>
  <c r="X100" i="3" s="1"/>
  <c r="AB88" i="3" l="1"/>
  <c r="AB90" i="3"/>
  <c r="AB89" i="3" s="1"/>
  <c r="AC78" i="3"/>
  <c r="AC79" i="3" s="1"/>
  <c r="AC83" i="3"/>
  <c r="AC81" i="3"/>
  <c r="AC66" i="3"/>
  <c r="AC68" i="3"/>
  <c r="AC67" i="3" s="1"/>
  <c r="AD59" i="3"/>
  <c r="AD61" i="3"/>
  <c r="AA96" i="3"/>
  <c r="AA8" i="4"/>
  <c r="AD44" i="3"/>
  <c r="AD56" i="3"/>
  <c r="AD57" i="3" s="1"/>
  <c r="AE18" i="3"/>
  <c r="AE21" i="3" s="1"/>
  <c r="AB95" i="3"/>
  <c r="AB7" i="4"/>
  <c r="AE39" i="3"/>
  <c r="AE42" i="3" s="1"/>
  <c r="AE34" i="3"/>
  <c r="AE35" i="3" s="1"/>
  <c r="AD13" i="3"/>
  <c r="AD14" i="3" s="1"/>
  <c r="AC23" i="3"/>
  <c r="AC25" i="3"/>
  <c r="AC24" i="3" s="1"/>
  <c r="AB93" i="3"/>
  <c r="AB5" i="4"/>
  <c r="X104" i="3"/>
  <c r="X101" i="3"/>
  <c r="X107" i="3" s="1"/>
  <c r="Y6" i="4"/>
  <c r="Y9" i="4" s="1"/>
  <c r="Y94" i="3"/>
  <c r="Y97" i="3" s="1"/>
  <c r="Y100" i="3" s="1"/>
  <c r="Z46" i="3"/>
  <c r="Z45" i="3" s="1"/>
  <c r="AC88" i="3" l="1"/>
  <c r="AC90" i="3"/>
  <c r="AC89" i="3" s="1"/>
  <c r="AC96" i="3" s="1"/>
  <c r="AD83" i="3"/>
  <c r="AD81" i="3"/>
  <c r="AD78" i="3"/>
  <c r="AD79" i="3" s="1"/>
  <c r="AD66" i="3"/>
  <c r="AD68" i="3"/>
  <c r="AD67" i="3" s="1"/>
  <c r="AE61" i="3"/>
  <c r="AE59" i="3"/>
  <c r="AB8" i="4"/>
  <c r="AB96" i="3"/>
  <c r="AE44" i="3"/>
  <c r="AC7" i="4"/>
  <c r="AC95" i="3"/>
  <c r="AE56" i="3"/>
  <c r="AE57" i="3" s="1"/>
  <c r="AC93" i="3"/>
  <c r="AC5" i="4"/>
  <c r="AD23" i="3"/>
  <c r="AD25" i="3"/>
  <c r="AD24" i="3" s="1"/>
  <c r="AE13" i="3"/>
  <c r="AE14" i="3" s="1"/>
  <c r="AA46" i="3"/>
  <c r="AA45" i="3" s="1"/>
  <c r="Z94" i="3"/>
  <c r="Z97" i="3" s="1"/>
  <c r="Z100" i="3" s="1"/>
  <c r="Z6" i="4"/>
  <c r="Z9" i="4" s="1"/>
  <c r="Y104" i="3"/>
  <c r="AC8" i="4" l="1"/>
  <c r="AD88" i="3"/>
  <c r="AD90" i="3"/>
  <c r="AD89" i="3" s="1"/>
  <c r="AD96" i="3" s="1"/>
  <c r="AE81" i="3"/>
  <c r="AE83" i="3"/>
  <c r="AE78" i="3"/>
  <c r="AE79" i="3" s="1"/>
  <c r="AE66" i="3"/>
  <c r="AE68" i="3"/>
  <c r="AE67" i="3" s="1"/>
  <c r="AD7" i="4"/>
  <c r="AD95" i="3"/>
  <c r="AE23" i="3"/>
  <c r="AE25" i="3"/>
  <c r="AE24" i="3" s="1"/>
  <c r="AD5" i="4"/>
  <c r="AD93" i="3"/>
  <c r="Y101" i="3"/>
  <c r="Y107" i="3" s="1"/>
  <c r="AB46" i="3"/>
  <c r="AB45" i="3" s="1"/>
  <c r="Z104" i="3"/>
  <c r="AA6" i="4"/>
  <c r="AA9" i="4" s="1"/>
  <c r="AA94" i="3"/>
  <c r="AA97" i="3" s="1"/>
  <c r="AA100" i="3" s="1"/>
  <c r="AD8" i="4" l="1"/>
  <c r="AE88" i="3"/>
  <c r="AE90" i="3"/>
  <c r="AE89" i="3" s="1"/>
  <c r="AE96" i="3" s="1"/>
  <c r="AE7" i="4"/>
  <c r="AE95" i="3"/>
  <c r="AE5" i="4"/>
  <c r="AE93" i="3"/>
  <c r="AA104" i="3"/>
  <c r="AA101" i="3"/>
  <c r="AA107" i="3" s="1"/>
  <c r="AC46" i="3"/>
  <c r="AC45" i="3" s="1"/>
  <c r="Z101" i="3"/>
  <c r="Z107" i="3" s="1"/>
  <c r="AB6" i="4"/>
  <c r="AB9" i="4" s="1"/>
  <c r="AB94" i="3"/>
  <c r="AB97" i="3" s="1"/>
  <c r="AB100" i="3" s="1"/>
  <c r="AE8" i="4" l="1"/>
  <c r="AD46" i="3"/>
  <c r="AD45" i="3" s="1"/>
  <c r="AC6" i="4"/>
  <c r="AC9" i="4" s="1"/>
  <c r="AC94" i="3"/>
  <c r="AC97" i="3" s="1"/>
  <c r="AC100" i="3" s="1"/>
  <c r="AB104" i="3"/>
  <c r="AC104" i="3" l="1"/>
  <c r="AC101" i="3"/>
  <c r="AC107" i="3" s="1"/>
  <c r="AB101" i="3"/>
  <c r="AB107" i="3" s="1"/>
  <c r="AD6" i="4"/>
  <c r="AD9" i="4" s="1"/>
  <c r="AD94" i="3"/>
  <c r="AD97" i="3" s="1"/>
  <c r="AD100" i="3" s="1"/>
  <c r="AE46" i="3"/>
  <c r="AE45" i="3" s="1"/>
  <c r="AD104" i="3" l="1"/>
  <c r="AE6" i="4"/>
  <c r="AE9" i="4" s="1"/>
  <c r="AE94" i="3"/>
  <c r="AE97" i="3" s="1"/>
  <c r="AE100" i="3" s="1"/>
  <c r="AE104" i="3" l="1"/>
  <c r="AE101" i="3"/>
  <c r="AE107" i="3" s="1"/>
  <c r="AD101" i="3"/>
  <c r="AD107" i="3" s="1"/>
  <c r="C13" i="4"/>
  <c r="C16" i="4"/>
  <c r="C19" i="4" l="1"/>
  <c r="F12" i="4" l="1"/>
  <c r="F16" i="4" s="1"/>
  <c r="E12" i="4"/>
  <c r="E16" i="4" s="1"/>
  <c r="D12" i="4"/>
  <c r="D16" i="4" s="1"/>
  <c r="G12" i="4"/>
  <c r="G16" i="4" s="1"/>
  <c r="B12" i="4"/>
  <c r="B16" i="4" s="1"/>
  <c r="F13" i="4" l="1"/>
  <c r="D13" i="4"/>
  <c r="B13" i="4"/>
  <c r="E13" i="4"/>
  <c r="G13" i="4"/>
  <c r="G19" i="4" s="1"/>
  <c r="H12" i="4"/>
  <c r="H16" i="4" s="1"/>
  <c r="E19" i="4" l="1"/>
  <c r="B19" i="4"/>
  <c r="D19" i="4"/>
  <c r="F19" i="4"/>
  <c r="I12" i="4"/>
  <c r="I16" i="4" s="1"/>
  <c r="H13" i="4"/>
  <c r="H19" i="4" s="1"/>
  <c r="I13" i="4" l="1"/>
  <c r="I19" i="4" s="1"/>
  <c r="J12" i="4"/>
  <c r="J16" i="4" s="1"/>
  <c r="J13" i="4" l="1"/>
  <c r="J19" i="4" s="1"/>
  <c r="K12" i="4"/>
  <c r="K16" i="4" s="1"/>
  <c r="K13" i="4" l="1"/>
  <c r="K19" i="4" s="1"/>
  <c r="L12" i="4"/>
  <c r="L16" i="4" s="1"/>
  <c r="L13" i="4" l="1"/>
  <c r="L19" i="4" s="1"/>
  <c r="M12" i="4"/>
  <c r="M16" i="4" s="1"/>
  <c r="M13" i="4" l="1"/>
  <c r="M19" i="4" s="1"/>
  <c r="N12" i="4"/>
  <c r="N16" i="4" s="1"/>
  <c r="N13" i="4" l="1"/>
  <c r="N19" i="4" s="1"/>
  <c r="O12" i="4"/>
  <c r="O16" i="4" s="1"/>
  <c r="O13" i="4" l="1"/>
  <c r="O19" i="4" s="1"/>
  <c r="P12" i="4"/>
  <c r="P16" i="4" s="1"/>
  <c r="P13" i="4" l="1"/>
  <c r="P19" i="4" s="1"/>
  <c r="Q12" i="4"/>
  <c r="Q16" i="4" s="1"/>
  <c r="Q13" i="4" l="1"/>
  <c r="Q19" i="4" s="1"/>
  <c r="R12" i="4"/>
  <c r="R16" i="4" s="1"/>
  <c r="R13" i="4" l="1"/>
  <c r="R19" i="4" s="1"/>
  <c r="S12" i="4"/>
  <c r="S16" i="4" s="1"/>
  <c r="S13" i="4" l="1"/>
  <c r="S19" i="4" s="1"/>
  <c r="T12" i="4"/>
  <c r="T16" i="4" s="1"/>
  <c r="T13" i="4" l="1"/>
  <c r="T19" i="4" s="1"/>
  <c r="U12" i="4"/>
  <c r="U16" i="4" s="1"/>
  <c r="U13" i="4" l="1"/>
  <c r="U19" i="4" s="1"/>
  <c r="V12" i="4"/>
  <c r="V16" i="4" s="1"/>
  <c r="V13" i="4" l="1"/>
  <c r="V19" i="4" s="1"/>
  <c r="W12" i="4"/>
  <c r="W16" i="4" s="1"/>
  <c r="W13" i="4" l="1"/>
  <c r="W19" i="4" s="1"/>
  <c r="X12" i="4"/>
  <c r="X16" i="4" s="1"/>
  <c r="X13" i="4" l="1"/>
  <c r="X19" i="4" s="1"/>
  <c r="Y12" i="4"/>
  <c r="Y16" i="4" s="1"/>
  <c r="Y13" i="4" l="1"/>
  <c r="Y19" i="4" s="1"/>
  <c r="Z12" i="4"/>
  <c r="Z16" i="4" s="1"/>
  <c r="Z13" i="4" l="1"/>
  <c r="Z19" i="4" s="1"/>
  <c r="AA12" i="4"/>
  <c r="AA16" i="4" s="1"/>
  <c r="AA13" i="4" l="1"/>
  <c r="AA19" i="4" s="1"/>
  <c r="AB12" i="4"/>
  <c r="AB16" i="4" s="1"/>
  <c r="AB13" i="4" l="1"/>
  <c r="AB19" i="4" s="1"/>
  <c r="AC12" i="4"/>
  <c r="AC16" i="4" s="1"/>
  <c r="AC13" i="4" l="1"/>
  <c r="AC19" i="4" s="1"/>
  <c r="AE12" i="4"/>
  <c r="AE16" i="4" s="1"/>
  <c r="AD12" i="4"/>
  <c r="AD16" i="4" s="1"/>
  <c r="G3" i="1" l="1"/>
  <c r="F19" i="1" s="1"/>
  <c r="AE13" i="4"/>
  <c r="AE19" i="4" s="1"/>
  <c r="AD13" i="4"/>
  <c r="AD19" i="4" s="1"/>
  <c r="G10" i="1" l="1"/>
  <c r="G6" i="1"/>
  <c r="G5" i="1"/>
  <c r="G4" i="1"/>
  <c r="G19" i="1" l="1"/>
  <c r="G7" i="1"/>
  <c r="F20" i="1" s="1"/>
  <c r="G13" i="1"/>
  <c r="G11" i="1"/>
  <c r="G12" i="1"/>
  <c r="G14" i="1" l="1"/>
  <c r="F22" i="1" s="1"/>
  <c r="G22" i="1" s="1"/>
  <c r="G20" i="1" l="1"/>
</calcChain>
</file>

<file path=xl/sharedStrings.xml><?xml version="1.0" encoding="utf-8"?>
<sst xmlns="http://schemas.openxmlformats.org/spreadsheetml/2006/main" count="217" uniqueCount="87">
  <si>
    <t>Apartments</t>
  </si>
  <si>
    <t>Single-Family Homes</t>
  </si>
  <si>
    <t>Completion</t>
  </si>
  <si>
    <t>Acreage</t>
  </si>
  <si>
    <t>Units or SF</t>
  </si>
  <si>
    <t>Value per unit</t>
  </si>
  <si>
    <t>Base value</t>
  </si>
  <si>
    <t>Prelim. Impvmt Value</t>
  </si>
  <si>
    <t>Land growth</t>
  </si>
  <si>
    <t>Improvement value</t>
  </si>
  <si>
    <t>Office</t>
  </si>
  <si>
    <t>Total revenue to NCA</t>
  </si>
  <si>
    <t>Net Rev NCA</t>
  </si>
  <si>
    <t>Gross Revenue Bond Sale</t>
  </si>
  <si>
    <t>A Bonds</t>
  </si>
  <si>
    <t>Total</t>
  </si>
  <si>
    <t>Reserve</t>
  </si>
  <si>
    <t>Cap int</t>
  </si>
  <si>
    <t>NPV</t>
  </si>
  <si>
    <t>Rate</t>
  </si>
  <si>
    <t>B Bond</t>
  </si>
  <si>
    <t>Issuance</t>
  </si>
  <si>
    <t>A Bond</t>
  </si>
  <si>
    <t>BOND ASSUMPTIONS AND REVENUE SUMMARY</t>
  </si>
  <si>
    <t>Ratio</t>
  </si>
  <si>
    <t>DEBT COVERAGE RATIO</t>
  </si>
  <si>
    <t>Abatement Structure</t>
  </si>
  <si>
    <t>Development Base Value Details</t>
  </si>
  <si>
    <t>Use</t>
  </si>
  <si>
    <t>Term (years)</t>
  </si>
  <si>
    <t>Abatement</t>
  </si>
  <si>
    <t>Non-abated</t>
  </si>
  <si>
    <t>CDC</t>
  </si>
  <si>
    <t>Retained</t>
  </si>
  <si>
    <t>Total acres</t>
  </si>
  <si>
    <t>Residential</t>
  </si>
  <si>
    <t>Commercial</t>
  </si>
  <si>
    <t>School</t>
  </si>
  <si>
    <t>Base per acre</t>
  </si>
  <si>
    <t>Non-school</t>
  </si>
  <si>
    <t>Land growth factor</t>
  </si>
  <si>
    <t>Retail</t>
  </si>
  <si>
    <t>Hotel</t>
  </si>
  <si>
    <t>Cash Flow</t>
  </si>
  <si>
    <t>Remaining</t>
  </si>
  <si>
    <t>Debt Coverage</t>
  </si>
  <si>
    <t>TOTAL MINIMUM SERVICE PAYMENTS</t>
  </si>
  <si>
    <t>MINIMUM SERVICE PAYMENTS SUMMARY</t>
  </si>
  <si>
    <t>TAX VALUE TEST (SHOULD EQUAL ZERO)</t>
  </si>
  <si>
    <t>Total Annual Collections</t>
  </si>
  <si>
    <t>Abate. value retained</t>
  </si>
  <si>
    <t>Construction service payments</t>
  </si>
  <si>
    <t>CDC - Improvement</t>
  </si>
  <si>
    <t>CDC - land</t>
  </si>
  <si>
    <t>TIF collection</t>
  </si>
  <si>
    <t>Tax to non school</t>
  </si>
  <si>
    <t>Tax to school</t>
  </si>
  <si>
    <t>Collection Items</t>
  </si>
  <si>
    <t>Full tax</t>
  </si>
  <si>
    <t>Full value</t>
  </si>
  <si>
    <t>Full Value Tax</t>
  </si>
  <si>
    <t>Building abatement year</t>
  </si>
  <si>
    <t>Homes built</t>
  </si>
  <si>
    <t>Land abatement year</t>
  </si>
  <si>
    <t>Cumulative inflation</t>
  </si>
  <si>
    <t>Inflation factor</t>
  </si>
  <si>
    <t>Collection Year</t>
  </si>
  <si>
    <t>Tax Year</t>
  </si>
  <si>
    <t>Excess from A (Debt Coverage)</t>
  </si>
  <si>
    <t>MINIMUM SERVICE PAYMENTS ON PHASE 1 - CONSTRUCTION</t>
  </si>
  <si>
    <t>Index Year</t>
  </si>
  <si>
    <t>Base Value</t>
  </si>
  <si>
    <t>Improvement Value</t>
  </si>
  <si>
    <t>Total Value</t>
  </si>
  <si>
    <t>Land Growth</t>
  </si>
  <si>
    <t>For Sale Residential</t>
  </si>
  <si>
    <t>Senior Apartments</t>
  </si>
  <si>
    <t>Development Composition</t>
  </si>
  <si>
    <t>Surplus</t>
  </si>
  <si>
    <t>Municipality A, Tax Rates</t>
  </si>
  <si>
    <t>Municipality B, Tax Rates</t>
  </si>
  <si>
    <t>Municipality A</t>
  </si>
  <si>
    <t>Municipality B</t>
  </si>
  <si>
    <t>Minor Re-Appraisal</t>
  </si>
  <si>
    <t>Major Re-Appraisal</t>
  </si>
  <si>
    <t>Revenue</t>
  </si>
  <si>
    <t>Condos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</si>
</sst>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_);\(0\)"/>
    <numFmt numFmtId="166" formatCode="_(&quot;$&quot;* #,##0_);_(&quot;$&quot;* \(#,##0\);_(&quot;$&quot;* &quot;-&quot;??_);_(@_)"/>
    <numFmt numFmtId="167" formatCode="0.00_);\(0.00\)"/>
    <numFmt numFmtId="168" formatCode="&quot;$&quot;#,##0"/>
    <numFmt numFmtId="169" formatCode="_(* #,##0.0000_);_(* \(#,##0.0000\);_(* &quot;-&quot;??_);_(@_)"/>
    <numFmt numFmtId="170" formatCode="_(* #,##0.0_);_(* \(#,##0.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3333FF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8"/>
      <color theme="1"/>
      <name val="Arial"/>
      <family val="2"/>
    </font>
    <font>
      <b/>
      <sz val="11"/>
      <color rgb="FF3333FF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3333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12">
    <xf numFmtId="0" fontId="0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3" borderId="0" applyNumberFormat="0" applyBorder="0" applyAlignment="0" applyProtection="0"/>
  </cellStyleXfs>
  <cellXfs count="267">
    <xf numFmtId="0" fontId="0" fillId="0" borderId="0" xfId="0"/>
    <xf numFmtId="164" fontId="1" fillId="0" borderId="2" xfId="2" applyNumberFormat="1" applyFont="1" applyBorder="1"/>
    <xf numFmtId="9" fontId="4" fillId="0" borderId="2" xfId="3" applyFont="1" applyBorder="1"/>
    <xf numFmtId="9" fontId="1" fillId="0" borderId="2" xfId="1" applyNumberFormat="1" applyBorder="1"/>
    <xf numFmtId="0" fontId="1" fillId="0" borderId="2" xfId="1" applyBorder="1"/>
    <xf numFmtId="0" fontId="1" fillId="0" borderId="3" xfId="1" applyBorder="1"/>
    <xf numFmtId="0" fontId="5" fillId="0" borderId="7" xfId="2" applyNumberFormat="1" applyFont="1" applyFill="1" applyBorder="1" applyAlignment="1"/>
    <xf numFmtId="0" fontId="5" fillId="0" borderId="0" xfId="2" applyNumberFormat="1" applyFont="1" applyFill="1" applyBorder="1" applyAlignment="1"/>
    <xf numFmtId="166" fontId="5" fillId="0" borderId="0" xfId="5" applyNumberFormat="1" applyFont="1" applyFill="1" applyBorder="1"/>
    <xf numFmtId="0" fontId="5" fillId="0" borderId="12" xfId="2" applyNumberFormat="1" applyFont="1" applyFill="1" applyBorder="1" applyAlignment="1"/>
    <xf numFmtId="0" fontId="5" fillId="0" borderId="8" xfId="2" applyNumberFormat="1" applyFont="1" applyFill="1" applyBorder="1" applyAlignment="1"/>
    <xf numFmtId="0" fontId="5" fillId="0" borderId="13" xfId="2" applyNumberFormat="1" applyFont="1" applyFill="1" applyBorder="1" applyAlignment="1"/>
    <xf numFmtId="0" fontId="5" fillId="0" borderId="10" xfId="2" applyNumberFormat="1" applyFont="1" applyFill="1" applyBorder="1" applyAlignment="1"/>
    <xf numFmtId="0" fontId="2" fillId="0" borderId="1" xfId="1" applyFont="1" applyBorder="1"/>
    <xf numFmtId="166" fontId="5" fillId="0" borderId="6" xfId="5" applyNumberFormat="1" applyFont="1" applyFill="1" applyBorder="1"/>
    <xf numFmtId="0" fontId="1" fillId="0" borderId="0" xfId="8" applyFont="1"/>
    <xf numFmtId="0" fontId="3" fillId="0" borderId="0" xfId="8" applyFont="1"/>
    <xf numFmtId="164" fontId="1" fillId="0" borderId="24" xfId="8" applyNumberFormat="1" applyFont="1" applyBorder="1"/>
    <xf numFmtId="0" fontId="1" fillId="0" borderId="24" xfId="8" applyFont="1" applyBorder="1"/>
    <xf numFmtId="0" fontId="1" fillId="2" borderId="25" xfId="8" applyFont="1" applyFill="1" applyBorder="1"/>
    <xf numFmtId="0" fontId="1" fillId="2" borderId="26" xfId="8" applyFont="1" applyFill="1" applyBorder="1"/>
    <xf numFmtId="0" fontId="2" fillId="2" borderId="27" xfId="8" applyFont="1" applyFill="1" applyBorder="1"/>
    <xf numFmtId="164" fontId="1" fillId="0" borderId="25" xfId="8" applyNumberFormat="1" applyFont="1" applyBorder="1"/>
    <xf numFmtId="164" fontId="1" fillId="0" borderId="26" xfId="8" applyNumberFormat="1" applyFont="1" applyBorder="1"/>
    <xf numFmtId="0" fontId="1" fillId="0" borderId="27" xfId="8" applyFont="1" applyBorder="1"/>
    <xf numFmtId="164" fontId="3" fillId="0" borderId="25" xfId="9" applyNumberFormat="1" applyFont="1" applyFill="1" applyBorder="1"/>
    <xf numFmtId="164" fontId="3" fillId="0" borderId="26" xfId="9" applyNumberFormat="1" applyFont="1" applyFill="1" applyBorder="1"/>
    <xf numFmtId="0" fontId="2" fillId="0" borderId="27" xfId="8" applyFont="1" applyBorder="1"/>
    <xf numFmtId="164" fontId="3" fillId="0" borderId="24" xfId="9" applyNumberFormat="1" applyFont="1" applyFill="1" applyBorder="1"/>
    <xf numFmtId="0" fontId="2" fillId="0" borderId="24" xfId="8" applyFont="1" applyBorder="1"/>
    <xf numFmtId="164" fontId="5" fillId="0" borderId="24" xfId="9" applyNumberFormat="1" applyFont="1" applyBorder="1"/>
    <xf numFmtId="0" fontId="5" fillId="0" borderId="24" xfId="8" applyFont="1" applyBorder="1"/>
    <xf numFmtId="164" fontId="10" fillId="0" borderId="28" xfId="8" applyNumberFormat="1" applyFont="1" applyBorder="1"/>
    <xf numFmtId="164" fontId="10" fillId="0" borderId="29" xfId="8" applyNumberFormat="1" applyFont="1" applyBorder="1"/>
    <xf numFmtId="0" fontId="10" fillId="0" borderId="30" xfId="8" applyFont="1" applyBorder="1" applyAlignment="1">
      <alignment horizontal="left"/>
    </xf>
    <xf numFmtId="164" fontId="10" fillId="0" borderId="17" xfId="8" applyNumberFormat="1" applyFont="1" applyBorder="1"/>
    <xf numFmtId="164" fontId="10" fillId="0" borderId="24" xfId="8" applyNumberFormat="1" applyFont="1" applyBorder="1"/>
    <xf numFmtId="0" fontId="10" fillId="0" borderId="31" xfId="8" applyFont="1" applyBorder="1" applyAlignment="1">
      <alignment horizontal="left"/>
    </xf>
    <xf numFmtId="164" fontId="1" fillId="0" borderId="17" xfId="8" applyNumberFormat="1" applyFont="1" applyBorder="1"/>
    <xf numFmtId="0" fontId="2" fillId="4" borderId="31" xfId="8" applyFont="1" applyFill="1" applyBorder="1" applyAlignment="1">
      <alignment horizontal="left"/>
    </xf>
    <xf numFmtId="164" fontId="1" fillId="0" borderId="17" xfId="10" applyNumberFormat="1" applyFont="1" applyFill="1" applyBorder="1"/>
    <xf numFmtId="164" fontId="1" fillId="0" borderId="24" xfId="10" applyNumberFormat="1" applyFont="1" applyFill="1" applyBorder="1"/>
    <xf numFmtId="0" fontId="5" fillId="0" borderId="31" xfId="8" applyFont="1" applyBorder="1"/>
    <xf numFmtId="0" fontId="1" fillId="0" borderId="31" xfId="8" applyFont="1" applyBorder="1" applyAlignment="1">
      <alignment horizontal="left" indent="2"/>
    </xf>
    <xf numFmtId="0" fontId="5" fillId="0" borderId="31" xfId="8" applyFont="1" applyBorder="1" applyAlignment="1">
      <alignment horizontal="left" indent="2"/>
    </xf>
    <xf numFmtId="164" fontId="1" fillId="0" borderId="32" xfId="10" applyNumberFormat="1" applyFont="1" applyFill="1" applyBorder="1"/>
    <xf numFmtId="164" fontId="1" fillId="0" borderId="33" xfId="10" applyNumberFormat="1" applyFont="1" applyFill="1" applyBorder="1"/>
    <xf numFmtId="0" fontId="2" fillId="0" borderId="34" xfId="8" applyFont="1" applyBorder="1"/>
    <xf numFmtId="164" fontId="11" fillId="2" borderId="28" xfId="10" applyNumberFormat="1" applyFont="1" applyFill="1" applyBorder="1"/>
    <xf numFmtId="164" fontId="11" fillId="2" borderId="29" xfId="10" applyNumberFormat="1" applyFont="1" applyFill="1" applyBorder="1"/>
    <xf numFmtId="0" fontId="11" fillId="2" borderId="30" xfId="8" applyFont="1" applyFill="1" applyBorder="1" applyAlignment="1">
      <alignment horizontal="left" indent="2"/>
    </xf>
    <xf numFmtId="164" fontId="11" fillId="2" borderId="17" xfId="10" applyNumberFormat="1" applyFont="1" applyFill="1" applyBorder="1"/>
    <xf numFmtId="164" fontId="11" fillId="2" borderId="24" xfId="10" applyNumberFormat="1" applyFont="1" applyFill="1" applyBorder="1"/>
    <xf numFmtId="0" fontId="11" fillId="2" borderId="31" xfId="8" applyFont="1" applyFill="1" applyBorder="1" applyAlignment="1">
      <alignment horizontal="left" indent="2"/>
    </xf>
    <xf numFmtId="164" fontId="11" fillId="2" borderId="35" xfId="10" applyNumberFormat="1" applyFont="1" applyFill="1" applyBorder="1"/>
    <xf numFmtId="164" fontId="11" fillId="2" borderId="36" xfId="10" applyNumberFormat="1" applyFont="1" applyFill="1" applyBorder="1"/>
    <xf numFmtId="0" fontId="2" fillId="2" borderId="37" xfId="8" applyFont="1" applyFill="1" applyBorder="1"/>
    <xf numFmtId="164" fontId="1" fillId="0" borderId="17" xfId="11" applyNumberFormat="1" applyFont="1" applyFill="1" applyBorder="1"/>
    <xf numFmtId="164" fontId="1" fillId="0" borderId="24" xfId="11" applyNumberFormat="1" applyFont="1" applyFill="1" applyBorder="1"/>
    <xf numFmtId="0" fontId="1" fillId="0" borderId="31" xfId="8" applyFont="1" applyBorder="1"/>
    <xf numFmtId="164" fontId="5" fillId="0" borderId="17" xfId="10" applyNumberFormat="1" applyFont="1" applyFill="1" applyBorder="1"/>
    <xf numFmtId="164" fontId="5" fillId="0" borderId="24" xfId="10" applyNumberFormat="1" applyFont="1" applyFill="1" applyBorder="1"/>
    <xf numFmtId="164" fontId="5" fillId="0" borderId="35" xfId="10" applyNumberFormat="1" applyFont="1" applyFill="1" applyBorder="1"/>
    <xf numFmtId="164" fontId="5" fillId="0" borderId="36" xfId="10" applyNumberFormat="1" applyFont="1" applyFill="1" applyBorder="1"/>
    <xf numFmtId="164" fontId="1" fillId="0" borderId="0" xfId="10" applyNumberFormat="1" applyFont="1" applyFill="1" applyBorder="1"/>
    <xf numFmtId="0" fontId="3" fillId="4" borderId="31" xfId="8" applyFont="1" applyFill="1" applyBorder="1"/>
    <xf numFmtId="164" fontId="1" fillId="0" borderId="28" xfId="10" applyNumberFormat="1" applyFont="1" applyFill="1" applyBorder="1"/>
    <xf numFmtId="164" fontId="1" fillId="0" borderId="29" xfId="10" applyNumberFormat="1" applyFont="1" applyFill="1" applyBorder="1"/>
    <xf numFmtId="0" fontId="1" fillId="0" borderId="30" xfId="8" applyFont="1" applyBorder="1"/>
    <xf numFmtId="0" fontId="1" fillId="0" borderId="38" xfId="8" applyFont="1" applyBorder="1"/>
    <xf numFmtId="166" fontId="1" fillId="0" borderId="0" xfId="8" applyNumberFormat="1" applyFont="1"/>
    <xf numFmtId="166" fontId="1" fillId="0" borderId="0" xfId="5" applyNumberFormat="1" applyFont="1"/>
    <xf numFmtId="170" fontId="1" fillId="0" borderId="0" xfId="7" applyNumberFormat="1" applyFont="1"/>
    <xf numFmtId="166" fontId="4" fillId="0" borderId="0" xfId="5" applyNumberFormat="1" applyFont="1"/>
    <xf numFmtId="3" fontId="4" fillId="0" borderId="0" xfId="8" applyNumberFormat="1" applyFont="1"/>
    <xf numFmtId="14" fontId="4" fillId="0" borderId="0" xfId="8" applyNumberFormat="1" applyFont="1"/>
    <xf numFmtId="14" fontId="5" fillId="0" borderId="0" xfId="8" applyNumberFormat="1" applyFont="1"/>
    <xf numFmtId="0" fontId="7" fillId="0" borderId="0" xfId="8" applyFont="1"/>
    <xf numFmtId="164" fontId="10" fillId="0" borderId="0" xfId="8" applyNumberFormat="1" applyFont="1"/>
    <xf numFmtId="0" fontId="10" fillId="0" borderId="0" xfId="8" applyFont="1" applyAlignment="1">
      <alignment horizontal="left"/>
    </xf>
    <xf numFmtId="43" fontId="10" fillId="0" borderId="29" xfId="10" applyFont="1" applyFill="1" applyBorder="1"/>
    <xf numFmtId="0" fontId="1" fillId="0" borderId="34" xfId="8" applyFont="1" applyBorder="1" applyAlignment="1">
      <alignment horizontal="left" indent="2"/>
    </xf>
    <xf numFmtId="164" fontId="1" fillId="0" borderId="39" xfId="10" applyNumberFormat="1" applyFont="1" applyFill="1" applyBorder="1"/>
    <xf numFmtId="164" fontId="1" fillId="0" borderId="40" xfId="10" applyNumberFormat="1" applyFont="1" applyFill="1" applyBorder="1"/>
    <xf numFmtId="0" fontId="1" fillId="0" borderId="41" xfId="8" applyFont="1" applyBorder="1"/>
    <xf numFmtId="9" fontId="1" fillId="0" borderId="0" xfId="8" applyNumberFormat="1" applyFont="1"/>
    <xf numFmtId="9" fontId="1" fillId="0" borderId="38" xfId="8" applyNumberFormat="1" applyFont="1" applyBorder="1"/>
    <xf numFmtId="0" fontId="5" fillId="0" borderId="0" xfId="8" applyFont="1"/>
    <xf numFmtId="43" fontId="12" fillId="0" borderId="0" xfId="10" applyFont="1" applyFill="1" applyBorder="1"/>
    <xf numFmtId="43" fontId="12" fillId="0" borderId="28" xfId="10" applyFont="1" applyBorder="1"/>
    <xf numFmtId="43" fontId="12" fillId="0" borderId="29" xfId="10" applyFont="1" applyBorder="1"/>
    <xf numFmtId="43" fontId="12" fillId="0" borderId="30" xfId="10" applyFont="1" applyBorder="1"/>
    <xf numFmtId="43" fontId="13" fillId="0" borderId="17" xfId="10" applyFont="1" applyBorder="1"/>
    <xf numFmtId="43" fontId="13" fillId="0" borderId="24" xfId="10" applyFont="1" applyBorder="1"/>
    <xf numFmtId="43" fontId="13" fillId="5" borderId="24" xfId="10" applyFont="1" applyFill="1" applyBorder="1"/>
    <xf numFmtId="43" fontId="13" fillId="6" borderId="24" xfId="10" applyFont="1" applyFill="1" applyBorder="1"/>
    <xf numFmtId="0" fontId="12" fillId="0" borderId="0" xfId="8" applyFont="1" applyAlignment="1">
      <alignment horizontal="center"/>
    </xf>
    <xf numFmtId="0" fontId="14" fillId="0" borderId="17" xfId="8" applyFont="1" applyBorder="1" applyAlignment="1">
      <alignment horizontal="center"/>
    </xf>
    <xf numFmtId="0" fontId="14" fillId="0" borderId="24" xfId="8" applyFont="1" applyBorder="1" applyAlignment="1">
      <alignment horizontal="center"/>
    </xf>
    <xf numFmtId="0" fontId="14" fillId="0" borderId="31" xfId="8" applyFont="1" applyBorder="1" applyAlignment="1">
      <alignment horizontal="center"/>
    </xf>
    <xf numFmtId="0" fontId="15" fillId="0" borderId="10" xfId="8" applyFont="1" applyBorder="1" applyAlignment="1">
      <alignment horizontal="right"/>
    </xf>
    <xf numFmtId="0" fontId="14" fillId="0" borderId="35" xfId="8" applyFont="1" applyBorder="1" applyAlignment="1">
      <alignment horizontal="center"/>
    </xf>
    <xf numFmtId="0" fontId="14" fillId="0" borderId="36" xfId="8" applyFont="1" applyBorder="1" applyAlignment="1">
      <alignment horizontal="center"/>
    </xf>
    <xf numFmtId="0" fontId="14" fillId="5" borderId="36" xfId="8" applyFont="1" applyFill="1" applyBorder="1" applyAlignment="1">
      <alignment horizontal="center"/>
    </xf>
    <xf numFmtId="0" fontId="14" fillId="6" borderId="36" xfId="8" applyFont="1" applyFill="1" applyBorder="1" applyAlignment="1">
      <alignment horizontal="center"/>
    </xf>
    <xf numFmtId="0" fontId="16" fillId="6" borderId="37" xfId="8" applyFont="1" applyFill="1" applyBorder="1" applyAlignment="1">
      <alignment horizontal="center"/>
    </xf>
    <xf numFmtId="0" fontId="15" fillId="0" borderId="0" xfId="8" applyFont="1" applyAlignment="1">
      <alignment horizontal="right"/>
    </xf>
    <xf numFmtId="0" fontId="1" fillId="0" borderId="0" xfId="8" applyFont="1" applyAlignment="1">
      <alignment horizontal="center"/>
    </xf>
    <xf numFmtId="0" fontId="3" fillId="0" borderId="10" xfId="8" applyFont="1" applyBorder="1" applyAlignment="1">
      <alignment horizontal="center"/>
    </xf>
    <xf numFmtId="164" fontId="3" fillId="0" borderId="0" xfId="3" applyNumberFormat="1" applyFont="1" applyFill="1" applyBorder="1"/>
    <xf numFmtId="9" fontId="3" fillId="0" borderId="0" xfId="3" applyFont="1" applyFill="1" applyBorder="1"/>
    <xf numFmtId="0" fontId="2" fillId="0" borderId="1" xfId="0" applyFont="1" applyBorder="1"/>
    <xf numFmtId="164" fontId="5" fillId="0" borderId="24" xfId="10" quotePrefix="1" applyNumberFormat="1" applyFont="1" applyFill="1" applyBorder="1"/>
    <xf numFmtId="164" fontId="5" fillId="0" borderId="40" xfId="10" applyNumberFormat="1" applyFont="1" applyFill="1" applyBorder="1"/>
    <xf numFmtId="164" fontId="0" fillId="0" borderId="24" xfId="10" quotePrefix="1" applyNumberFormat="1" applyFont="1" applyFill="1" applyBorder="1"/>
    <xf numFmtId="0" fontId="5" fillId="0" borderId="37" xfId="8" applyFont="1" applyBorder="1"/>
    <xf numFmtId="0" fontId="5" fillId="0" borderId="36" xfId="8" applyFont="1" applyBorder="1"/>
    <xf numFmtId="0" fontId="5" fillId="0" borderId="35" xfId="8" applyFont="1" applyBorder="1"/>
    <xf numFmtId="164" fontId="5" fillId="0" borderId="17" xfId="10" applyNumberFormat="1" applyFont="1" applyFill="1" applyBorder="1" applyAlignment="1">
      <alignment horizontal="right"/>
    </xf>
    <xf numFmtId="164" fontId="1" fillId="0" borderId="0" xfId="11" applyNumberFormat="1" applyFont="1" applyFill="1" applyBorder="1"/>
    <xf numFmtId="43" fontId="13" fillId="0" borderId="42" xfId="10" applyFont="1" applyBorder="1"/>
    <xf numFmtId="43" fontId="13" fillId="0" borderId="43" xfId="10" applyFont="1" applyBorder="1"/>
    <xf numFmtId="164" fontId="5" fillId="0" borderId="36" xfId="9" applyNumberFormat="1" applyFont="1" applyBorder="1"/>
    <xf numFmtId="164" fontId="5" fillId="0" borderId="35" xfId="9" applyNumberFormat="1" applyFont="1" applyBorder="1"/>
    <xf numFmtId="164" fontId="5" fillId="0" borderId="17" xfId="9" applyNumberFormat="1" applyFont="1" applyBorder="1"/>
    <xf numFmtId="0" fontId="2" fillId="0" borderId="31" xfId="8" applyFont="1" applyBorder="1"/>
    <xf numFmtId="164" fontId="3" fillId="0" borderId="17" xfId="9" applyNumberFormat="1" applyFont="1" applyFill="1" applyBorder="1"/>
    <xf numFmtId="0" fontId="2" fillId="0" borderId="44" xfId="8" applyFont="1" applyBorder="1"/>
    <xf numFmtId="164" fontId="3" fillId="0" borderId="45" xfId="9" applyNumberFormat="1" applyFont="1" applyFill="1" applyBorder="1"/>
    <xf numFmtId="0" fontId="2" fillId="2" borderId="44" xfId="8" applyFont="1" applyFill="1" applyBorder="1"/>
    <xf numFmtId="0" fontId="1" fillId="2" borderId="45" xfId="8" applyFont="1" applyFill="1" applyBorder="1"/>
    <xf numFmtId="0" fontId="1" fillId="0" borderId="44" xfId="8" applyFont="1" applyBorder="1"/>
    <xf numFmtId="164" fontId="1" fillId="0" borderId="45" xfId="8" applyNumberFormat="1" applyFont="1" applyBorder="1"/>
    <xf numFmtId="164" fontId="1" fillId="0" borderId="29" xfId="8" applyNumberFormat="1" applyFont="1" applyBorder="1"/>
    <xf numFmtId="164" fontId="1" fillId="0" borderId="28" xfId="8" applyNumberFormat="1" applyFont="1" applyBorder="1"/>
    <xf numFmtId="0" fontId="5" fillId="0" borderId="1" xfId="8" applyFont="1" applyBorder="1" applyAlignment="1">
      <alignment horizontal="left"/>
    </xf>
    <xf numFmtId="0" fontId="1" fillId="0" borderId="2" xfId="8" applyFont="1" applyBorder="1" applyAlignment="1">
      <alignment horizontal="center"/>
    </xf>
    <xf numFmtId="0" fontId="1" fillId="0" borderId="3" xfId="8" applyFont="1" applyBorder="1" applyAlignment="1">
      <alignment horizontal="center"/>
    </xf>
    <xf numFmtId="0" fontId="3" fillId="0" borderId="7" xfId="8" applyFont="1" applyBorder="1" applyAlignment="1">
      <alignment horizontal="right"/>
    </xf>
    <xf numFmtId="0" fontId="3" fillId="0" borderId="0" xfId="8" applyFont="1" applyAlignment="1">
      <alignment horizontal="center"/>
    </xf>
    <xf numFmtId="0" fontId="2" fillId="0" borderId="0" xfId="8" applyFont="1" applyAlignment="1">
      <alignment horizontal="center"/>
    </xf>
    <xf numFmtId="0" fontId="2" fillId="0" borderId="6" xfId="8" applyFont="1" applyBorder="1" applyAlignment="1">
      <alignment horizontal="center"/>
    </xf>
    <xf numFmtId="0" fontId="3" fillId="0" borderId="13" xfId="8" applyFont="1" applyBorder="1" applyAlignment="1">
      <alignment horizontal="right"/>
    </xf>
    <xf numFmtId="0" fontId="3" fillId="0" borderId="11" xfId="8" applyFont="1" applyBorder="1" applyAlignment="1">
      <alignment horizontal="center"/>
    </xf>
    <xf numFmtId="0" fontId="3" fillId="0" borderId="46" xfId="8" applyFont="1" applyBorder="1"/>
    <xf numFmtId="0" fontId="3" fillId="0" borderId="38" xfId="8" applyFont="1" applyBorder="1"/>
    <xf numFmtId="0" fontId="3" fillId="0" borderId="4" xfId="1" applyFont="1" applyFill="1" applyBorder="1"/>
    <xf numFmtId="0" fontId="5" fillId="0" borderId="5" xfId="1" applyFont="1" applyFill="1" applyBorder="1"/>
    <xf numFmtId="0" fontId="3" fillId="0" borderId="5" xfId="1" applyFont="1" applyFill="1" applyBorder="1"/>
    <xf numFmtId="0" fontId="5" fillId="0" borderId="21" xfId="1" applyFont="1" applyFill="1" applyBorder="1"/>
    <xf numFmtId="0" fontId="2" fillId="0" borderId="4" xfId="1" applyFont="1" applyFill="1" applyBorder="1"/>
    <xf numFmtId="0" fontId="1" fillId="0" borderId="5" xfId="1" applyFill="1" applyBorder="1"/>
    <xf numFmtId="0" fontId="1" fillId="0" borderId="3" xfId="1" applyFill="1" applyBorder="1"/>
    <xf numFmtId="0" fontId="0" fillId="0" borderId="0" xfId="0" applyFill="1"/>
    <xf numFmtId="167" fontId="0" fillId="0" borderId="0" xfId="0" applyNumberFormat="1" applyFill="1"/>
    <xf numFmtId="0" fontId="1" fillId="0" borderId="7" xfId="1" applyFill="1" applyBorder="1" applyAlignment="1">
      <alignment horizontal="left" indent="1"/>
    </xf>
    <xf numFmtId="164" fontId="1" fillId="0" borderId="17" xfId="1" applyNumberFormat="1" applyFill="1" applyBorder="1"/>
    <xf numFmtId="9" fontId="4" fillId="0" borderId="0" xfId="1" applyNumberFormat="1" applyFont="1" applyFill="1"/>
    <xf numFmtId="0" fontId="1" fillId="0" borderId="12" xfId="1" applyFill="1" applyBorder="1" applyAlignment="1">
      <alignment horizontal="left" indent="1"/>
    </xf>
    <xf numFmtId="9" fontId="4" fillId="0" borderId="8" xfId="1" applyNumberFormat="1" applyFont="1" applyFill="1" applyBorder="1"/>
    <xf numFmtId="0" fontId="2" fillId="0" borderId="7" xfId="1" applyFont="1" applyFill="1" applyBorder="1" applyAlignment="1">
      <alignment horizontal="left" indent="1"/>
    </xf>
    <xf numFmtId="0" fontId="1" fillId="0" borderId="0" xfId="1" applyFill="1"/>
    <xf numFmtId="168" fontId="2" fillId="0" borderId="17" xfId="1" applyNumberFormat="1" applyFont="1" applyFill="1" applyBorder="1"/>
    <xf numFmtId="9" fontId="1" fillId="0" borderId="6" xfId="1" applyNumberFormat="1" applyFill="1" applyBorder="1" applyAlignment="1">
      <alignment horizontal="left" indent="1"/>
    </xf>
    <xf numFmtId="166" fontId="1" fillId="0" borderId="0" xfId="1" applyNumberFormat="1" applyFill="1"/>
    <xf numFmtId="166" fontId="1" fillId="0" borderId="6" xfId="1" applyNumberFormat="1" applyFill="1" applyBorder="1"/>
    <xf numFmtId="0" fontId="2" fillId="0" borderId="12" xfId="1" applyFont="1" applyFill="1" applyBorder="1"/>
    <xf numFmtId="0" fontId="1" fillId="0" borderId="8" xfId="1" applyFill="1" applyBorder="1"/>
    <xf numFmtId="0" fontId="1" fillId="0" borderId="9" xfId="1" applyFill="1" applyBorder="1"/>
    <xf numFmtId="166" fontId="1" fillId="0" borderId="8" xfId="1" applyNumberFormat="1" applyFill="1" applyBorder="1"/>
    <xf numFmtId="166" fontId="1" fillId="0" borderId="9" xfId="1" applyNumberFormat="1" applyFill="1" applyBorder="1"/>
    <xf numFmtId="0" fontId="0" fillId="0" borderId="7" xfId="1" applyFont="1" applyFill="1" applyBorder="1" applyAlignment="1">
      <alignment horizontal="left" indent="1"/>
    </xf>
    <xf numFmtId="0" fontId="3" fillId="0" borderId="7" xfId="1" applyFont="1" applyFill="1" applyBorder="1"/>
    <xf numFmtId="0" fontId="3" fillId="0" borderId="0" xfId="1" applyFont="1" applyFill="1"/>
    <xf numFmtId="0" fontId="1" fillId="0" borderId="6" xfId="1" applyFill="1" applyBorder="1"/>
    <xf numFmtId="0" fontId="3" fillId="0" borderId="12" xfId="1" applyFont="1" applyFill="1" applyBorder="1"/>
    <xf numFmtId="0" fontId="5" fillId="0" borderId="8" xfId="1" applyFont="1" applyFill="1" applyBorder="1"/>
    <xf numFmtId="0" fontId="3" fillId="0" borderId="8" xfId="1" applyFont="1" applyFill="1" applyBorder="1"/>
    <xf numFmtId="0" fontId="5" fillId="0" borderId="9" xfId="1" applyFont="1" applyFill="1" applyBorder="1"/>
    <xf numFmtId="168" fontId="2" fillId="0" borderId="39" xfId="1" applyNumberFormat="1" applyFont="1" applyFill="1" applyBorder="1"/>
    <xf numFmtId="0" fontId="0" fillId="0" borderId="5" xfId="0" applyFill="1" applyBorder="1"/>
    <xf numFmtId="0" fontId="1" fillId="0" borderId="21" xfId="1" applyFill="1" applyBorder="1"/>
    <xf numFmtId="0" fontId="1" fillId="0" borderId="18" xfId="1" applyFill="1" applyBorder="1" applyAlignment="1">
      <alignment horizontal="left" indent="1"/>
    </xf>
    <xf numFmtId="0" fontId="0" fillId="0" borderId="19" xfId="0" applyFill="1" applyBorder="1"/>
    <xf numFmtId="0" fontId="5" fillId="0" borderId="0" xfId="1" applyFont="1" applyFill="1"/>
    <xf numFmtId="0" fontId="5" fillId="0" borderId="6" xfId="1" applyFont="1" applyFill="1" applyBorder="1"/>
    <xf numFmtId="0" fontId="5" fillId="0" borderId="16" xfId="1" applyFont="1" applyFill="1" applyBorder="1"/>
    <xf numFmtId="164" fontId="5" fillId="0" borderId="15" xfId="2" applyNumberFormat="1" applyFont="1" applyFill="1" applyBorder="1"/>
    <xf numFmtId="9" fontId="5" fillId="0" borderId="14" xfId="3" applyFont="1" applyFill="1" applyBorder="1"/>
    <xf numFmtId="0" fontId="1" fillId="0" borderId="7" xfId="1" applyFill="1" applyBorder="1"/>
    <xf numFmtId="164" fontId="5" fillId="0" borderId="0" xfId="2" applyNumberFormat="1" applyFont="1" applyFill="1" applyBorder="1"/>
    <xf numFmtId="164" fontId="5" fillId="0" borderId="6" xfId="3" applyNumberFormat="1" applyFont="1" applyFill="1" applyBorder="1"/>
    <xf numFmtId="0" fontId="5" fillId="0" borderId="7" xfId="1" applyFont="1" applyFill="1" applyBorder="1"/>
    <xf numFmtId="168" fontId="5" fillId="0" borderId="6" xfId="3" applyNumberFormat="1" applyFont="1" applyFill="1" applyBorder="1"/>
    <xf numFmtId="9" fontId="5" fillId="0" borderId="6" xfId="3" applyFont="1" applyFill="1" applyBorder="1"/>
    <xf numFmtId="166" fontId="1" fillId="0" borderId="10" xfId="1" applyNumberFormat="1" applyFill="1" applyBorder="1"/>
    <xf numFmtId="166" fontId="1" fillId="0" borderId="11" xfId="1" applyNumberFormat="1" applyFill="1" applyBorder="1"/>
    <xf numFmtId="0" fontId="2" fillId="0" borderId="18" xfId="1" applyFont="1" applyFill="1" applyBorder="1"/>
    <xf numFmtId="164" fontId="3" fillId="0" borderId="19" xfId="3" applyNumberFormat="1" applyFont="1" applyFill="1" applyBorder="1"/>
    <xf numFmtId="9" fontId="3" fillId="0" borderId="20" xfId="3" applyFont="1" applyFill="1" applyBorder="1"/>
    <xf numFmtId="0" fontId="2" fillId="0" borderId="0" xfId="1" applyFont="1" applyFill="1"/>
    <xf numFmtId="0" fontId="3" fillId="0" borderId="22" xfId="1" applyFont="1" applyFill="1" applyBorder="1"/>
    <xf numFmtId="0" fontId="3" fillId="0" borderId="23" xfId="1" applyFont="1" applyFill="1" applyBorder="1"/>
    <xf numFmtId="0" fontId="5" fillId="0" borderId="23" xfId="1" applyFont="1" applyFill="1" applyBorder="1"/>
    <xf numFmtId="0" fontId="3" fillId="0" borderId="23" xfId="7" applyNumberFormat="1" applyFont="1" applyFill="1" applyBorder="1" applyAlignment="1">
      <alignment horizontal="left"/>
    </xf>
    <xf numFmtId="0" fontId="1" fillId="0" borderId="23" xfId="1" applyFill="1" applyBorder="1" applyAlignment="1">
      <alignment horizontal="left"/>
    </xf>
    <xf numFmtId="0" fontId="2" fillId="0" borderId="2" xfId="1" applyFont="1" applyFill="1" applyBorder="1"/>
    <xf numFmtId="0" fontId="1" fillId="0" borderId="2" xfId="1" applyFill="1" applyBorder="1"/>
    <xf numFmtId="0" fontId="1" fillId="0" borderId="12" xfId="1" applyFill="1" applyBorder="1"/>
    <xf numFmtId="164" fontId="1" fillId="0" borderId="8" xfId="2" applyNumberFormat="1" applyFont="1" applyFill="1" applyBorder="1" applyAlignment="1">
      <alignment horizontal="right"/>
    </xf>
    <xf numFmtId="164" fontId="1" fillId="0" borderId="8" xfId="2" applyNumberFormat="1" applyFont="1" applyFill="1" applyBorder="1"/>
    <xf numFmtId="0" fontId="1" fillId="0" borderId="8" xfId="1" applyFill="1" applyBorder="1" applyAlignment="1">
      <alignment horizontal="right"/>
    </xf>
    <xf numFmtId="43" fontId="1" fillId="0" borderId="8" xfId="2" applyFont="1" applyFill="1" applyBorder="1" applyAlignment="1">
      <alignment horizontal="right"/>
    </xf>
    <xf numFmtId="0" fontId="5" fillId="0" borderId="0" xfId="1" applyFont="1" applyFill="1" applyAlignment="1">
      <alignment horizontal="left"/>
    </xf>
    <xf numFmtId="164" fontId="4" fillId="0" borderId="0" xfId="7" applyNumberFormat="1" applyFont="1" applyFill="1" applyBorder="1"/>
    <xf numFmtId="0" fontId="0" fillId="0" borderId="7" xfId="1" applyFont="1" applyFill="1" applyBorder="1"/>
    <xf numFmtId="9" fontId="1" fillId="0" borderId="0" xfId="1" applyNumberFormat="1" applyFill="1"/>
    <xf numFmtId="164" fontId="1" fillId="0" borderId="0" xfId="2" applyNumberFormat="1" applyFont="1" applyFill="1" applyBorder="1"/>
    <xf numFmtId="0" fontId="5" fillId="0" borderId="10" xfId="1" applyFont="1" applyFill="1" applyBorder="1" applyAlignment="1">
      <alignment horizontal="left"/>
    </xf>
    <xf numFmtId="166" fontId="5" fillId="0" borderId="10" xfId="5" applyNumberFormat="1" applyFont="1" applyFill="1" applyBorder="1"/>
    <xf numFmtId="0" fontId="1" fillId="0" borderId="19" xfId="1" applyFill="1" applyBorder="1"/>
    <xf numFmtId="169" fontId="1" fillId="0" borderId="19" xfId="2" applyNumberFormat="1" applyFont="1" applyFill="1" applyBorder="1"/>
    <xf numFmtId="169" fontId="1" fillId="0" borderId="20" xfId="2" applyNumberFormat="1" applyFont="1" applyFill="1" applyBorder="1"/>
    <xf numFmtId="0" fontId="3" fillId="0" borderId="0" xfId="7" applyNumberFormat="1" applyFont="1" applyFill="1" applyBorder="1" applyAlignment="1">
      <alignment horizontal="left"/>
    </xf>
    <xf numFmtId="0" fontId="5" fillId="0" borderId="13" xfId="1" applyFont="1" applyFill="1" applyBorder="1"/>
    <xf numFmtId="9" fontId="4" fillId="0" borderId="10" xfId="3" applyFont="1" applyFill="1" applyBorder="1"/>
    <xf numFmtId="9" fontId="1" fillId="0" borderId="10" xfId="1" applyNumberFormat="1" applyFill="1" applyBorder="1"/>
    <xf numFmtId="9" fontId="1" fillId="0" borderId="11" xfId="1" applyNumberFormat="1" applyFill="1" applyBorder="1"/>
    <xf numFmtId="0" fontId="1" fillId="0" borderId="4" xfId="1" applyFill="1" applyBorder="1"/>
    <xf numFmtId="164" fontId="1" fillId="0" borderId="5" xfId="2" applyNumberFormat="1" applyFont="1" applyFill="1" applyBorder="1" applyAlignment="1">
      <alignment horizontal="right"/>
    </xf>
    <xf numFmtId="164" fontId="1" fillId="0" borderId="5" xfId="2" applyNumberFormat="1" applyFont="1" applyFill="1" applyBorder="1"/>
    <xf numFmtId="0" fontId="1" fillId="0" borderId="5" xfId="1" applyFill="1" applyBorder="1" applyAlignment="1">
      <alignment horizontal="right"/>
    </xf>
    <xf numFmtId="43" fontId="1" fillId="0" borderId="5" xfId="2" applyFont="1" applyFill="1" applyBorder="1" applyAlignment="1">
      <alignment horizontal="right"/>
    </xf>
    <xf numFmtId="9" fontId="1" fillId="0" borderId="6" xfId="1" applyNumberFormat="1" applyFill="1" applyBorder="1"/>
    <xf numFmtId="165" fontId="4" fillId="2" borderId="0" xfId="2" applyNumberFormat="1" applyFont="1" applyFill="1" applyBorder="1"/>
    <xf numFmtId="43" fontId="4" fillId="2" borderId="0" xfId="2" applyFont="1" applyFill="1" applyBorder="1"/>
    <xf numFmtId="164" fontId="4" fillId="2" borderId="0" xfId="2" applyNumberFormat="1" applyFont="1" applyFill="1" applyBorder="1"/>
    <xf numFmtId="166" fontId="4" fillId="2" borderId="0" xfId="5" applyNumberFormat="1" applyFont="1" applyFill="1" applyBorder="1"/>
    <xf numFmtId="165" fontId="4" fillId="2" borderId="6" xfId="2" applyNumberFormat="1" applyFont="1" applyFill="1" applyBorder="1"/>
    <xf numFmtId="43" fontId="4" fillId="2" borderId="6" xfId="2" applyFont="1" applyFill="1" applyBorder="1"/>
    <xf numFmtId="164" fontId="4" fillId="2" borderId="6" xfId="2" applyNumberFormat="1" applyFont="1" applyFill="1" applyBorder="1"/>
    <xf numFmtId="166" fontId="4" fillId="2" borderId="6" xfId="5" applyNumberFormat="1" applyFont="1" applyFill="1" applyBorder="1"/>
    <xf numFmtId="10" fontId="4" fillId="2" borderId="0" xfId="1" applyNumberFormat="1" applyFont="1" applyFill="1"/>
    <xf numFmtId="9" fontId="4" fillId="2" borderId="0" xfId="1" applyNumberFormat="1" applyFont="1" applyFill="1"/>
    <xf numFmtId="9" fontId="4" fillId="2" borderId="8" xfId="1" applyNumberFormat="1" applyFont="1" applyFill="1" applyBorder="1"/>
    <xf numFmtId="2" fontId="4" fillId="2" borderId="20" xfId="1" applyNumberFormat="1" applyFont="1" applyFill="1" applyBorder="1"/>
    <xf numFmtId="169" fontId="1" fillId="2" borderId="2" xfId="2" applyNumberFormat="1" applyFont="1" applyFill="1" applyBorder="1"/>
    <xf numFmtId="169" fontId="1" fillId="2" borderId="3" xfId="2" applyNumberFormat="1" applyFont="1" applyFill="1" applyBorder="1"/>
    <xf numFmtId="169" fontId="1" fillId="2" borderId="8" xfId="2" applyNumberFormat="1" applyFont="1" applyFill="1" applyBorder="1"/>
    <xf numFmtId="169" fontId="1" fillId="2" borderId="9" xfId="2" applyNumberFormat="1" applyFont="1" applyFill="1" applyBorder="1"/>
    <xf numFmtId="164" fontId="1" fillId="2" borderId="0" xfId="2" applyNumberFormat="1" applyFont="1" applyFill="1" applyBorder="1" applyAlignment="1">
      <alignment horizontal="right"/>
    </xf>
    <xf numFmtId="9" fontId="4" fillId="2" borderId="0" xfId="3" applyFont="1" applyFill="1" applyBorder="1"/>
    <xf numFmtId="164" fontId="1" fillId="2" borderId="0" xfId="2" applyNumberFormat="1" applyFont="1" applyFill="1" applyBorder="1"/>
    <xf numFmtId="164" fontId="1" fillId="2" borderId="0" xfId="2" applyNumberFormat="1" applyFont="1" applyFill="1" applyBorder="1" applyAlignment="1">
      <alignment horizontal="center"/>
    </xf>
    <xf numFmtId="9" fontId="4" fillId="2" borderId="0" xfId="2" applyNumberFormat="1" applyFont="1" applyFill="1" applyBorder="1" applyAlignment="1">
      <alignment horizontal="right"/>
    </xf>
    <xf numFmtId="164" fontId="1" fillId="2" borderId="10" xfId="2" applyNumberFormat="1" applyFont="1" applyFill="1" applyBorder="1"/>
    <xf numFmtId="9" fontId="4" fillId="2" borderId="10" xfId="3" applyFont="1" applyFill="1" applyBorder="1"/>
    <xf numFmtId="164" fontId="4" fillId="2" borderId="0" xfId="7" applyNumberFormat="1" applyFont="1" applyFill="1" applyBorder="1"/>
    <xf numFmtId="9" fontId="9" fillId="2" borderId="0" xfId="1" applyNumberFormat="1" applyFont="1" applyFill="1" applyAlignment="1">
      <alignment horizontal="right"/>
    </xf>
    <xf numFmtId="9" fontId="4" fillId="2" borderId="0" xfId="3" applyFont="1" applyFill="1" applyBorder="1" applyAlignment="1">
      <alignment horizontal="right"/>
    </xf>
    <xf numFmtId="0" fontId="1" fillId="0" borderId="0" xfId="1" applyFill="1" applyBorder="1"/>
    <xf numFmtId="0" fontId="2" fillId="0" borderId="37" xfId="0" applyFont="1" applyFill="1" applyBorder="1"/>
    <xf numFmtId="0" fontId="2" fillId="0" borderId="30" xfId="0" applyFont="1" applyFill="1" applyBorder="1"/>
    <xf numFmtId="9" fontId="4" fillId="6" borderId="35" xfId="6" applyFont="1" applyFill="1" applyBorder="1" applyAlignment="1">
      <alignment horizontal="center"/>
    </xf>
    <xf numFmtId="9" fontId="4" fillId="5" borderId="28" xfId="6" applyFont="1" applyFill="1" applyBorder="1" applyAlignment="1">
      <alignment horizontal="center"/>
    </xf>
    <xf numFmtId="43" fontId="13" fillId="6" borderId="31" xfId="10" applyNumberFormat="1" applyFont="1" applyFill="1" applyBorder="1"/>
    <xf numFmtId="43" fontId="13" fillId="5" borderId="24" xfId="10" applyNumberFormat="1" applyFont="1" applyFill="1" applyBorder="1"/>
  </cellXfs>
  <cellStyles count="12">
    <cellStyle name="20% - Accent5 2" xfId="11" xr:uid="{81AA16D1-1323-4174-8C86-EFF43D16BF42}"/>
    <cellStyle name="Comma 2" xfId="7" xr:uid="{8AAC4DB6-D331-4B11-B315-D3A4FBA8593A}"/>
    <cellStyle name="Comma 3" xfId="2" xr:uid="{C89B2C9D-5DD4-47CD-A1AB-64EF76E22D4D}"/>
    <cellStyle name="Comma 4" xfId="10" xr:uid="{927B8043-19CA-482C-ACB5-32849B50DDB2}"/>
    <cellStyle name="Currency 2" xfId="5" xr:uid="{B8C8BE59-5E83-4513-B633-6BCF56FE59F5}"/>
    <cellStyle name="Currency 3" xfId="4" xr:uid="{01BD4853-3E1F-4B30-BCD0-9172043FD45F}"/>
    <cellStyle name="Normal" xfId="0" builtinId="0"/>
    <cellStyle name="Normal 2" xfId="8" xr:uid="{F274ABDA-C906-41D8-A778-EBCACBF2B005}"/>
    <cellStyle name="Normal 6" xfId="1" xr:uid="{85357631-E12D-40D0-8DA6-FB159EB4DF14}"/>
    <cellStyle name="Percent" xfId="6" builtinId="5"/>
    <cellStyle name="Percent 2" xfId="9" xr:uid="{1C5D520D-E9E7-4B9C-B9CF-23B5C1916942}"/>
    <cellStyle name="Percent 3" xfId="3" xr:uid="{B3313A7E-22D4-44A3-8015-B5BE7C53A233}"/>
  </cellStyles>
  <dxfs count="4">
    <dxf>
      <font>
        <strike val="0"/>
      </font>
      <fill>
        <patternFill>
          <bgColor theme="8" tint="0.7999816888943144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strike val="0"/>
      </font>
      <fill>
        <patternFill>
          <bgColor theme="8" tint="0.79998168889431442"/>
        </patternFill>
      </fill>
    </dxf>
    <dxf>
      <font>
        <strike val="0"/>
      </font>
      <fill>
        <patternFill>
          <bgColor theme="8" tint="0.79998168889431442"/>
        </patternFill>
      </fill>
    </dxf>
  </dxfs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4B5BB-B187-4597-8D89-2B114CA0E2F2}">
  <dimension ref="A1:K45"/>
  <sheetViews>
    <sheetView tabSelected="1" zoomScale="85" zoomScaleNormal="85" zoomScaleSheetLayoutView="85" workbookViewId="0">
      <selection activeCell="C14" sqref="C14"/>
    </sheetView>
  </sheetViews>
  <sheetFormatPr defaultColWidth="25.28515625" defaultRowHeight="15" x14ac:dyDescent="0.25"/>
  <cols>
    <col min="1" max="1" width="25.7109375" bestFit="1" customWidth="1"/>
    <col min="2" max="2" width="14.85546875" bestFit="1" customWidth="1"/>
    <col min="3" max="3" width="22.5703125" customWidth="1"/>
    <col min="4" max="4" width="14.140625" customWidth="1"/>
    <col min="5" max="5" width="20.7109375" customWidth="1"/>
    <col min="6" max="6" width="15.7109375" bestFit="1" customWidth="1"/>
    <col min="7" max="7" width="22.5703125" customWidth="1"/>
    <col min="8" max="8" width="18.28515625" customWidth="1"/>
    <col min="9" max="9" width="33.85546875" bestFit="1" customWidth="1"/>
    <col min="10" max="10" width="16.85546875" customWidth="1"/>
    <col min="11" max="11" width="20.28515625" bestFit="1" customWidth="1"/>
    <col min="12" max="12" width="27.42578125" bestFit="1" customWidth="1"/>
    <col min="13" max="13" width="13.5703125" bestFit="1" customWidth="1"/>
    <col min="14" max="14" width="20.85546875" customWidth="1"/>
    <col min="15" max="15" width="15.5703125" customWidth="1"/>
    <col min="16" max="16" width="13.5703125" bestFit="1" customWidth="1"/>
    <col min="17" max="18" width="18.28515625" customWidth="1"/>
  </cols>
  <sheetData>
    <row r="1" spans="1:11" ht="15.75" thickBot="1" x14ac:dyDescent="0.3">
      <c r="A1" s="111" t="s">
        <v>77</v>
      </c>
      <c r="B1" s="1"/>
      <c r="C1" s="3"/>
      <c r="D1" s="2"/>
      <c r="E1" s="13" t="s">
        <v>23</v>
      </c>
      <c r="F1" s="4"/>
      <c r="G1" s="5"/>
    </row>
    <row r="2" spans="1:11" x14ac:dyDescent="0.25">
      <c r="A2" s="146" t="s">
        <v>0</v>
      </c>
      <c r="B2" s="147"/>
      <c r="C2" s="148" t="s">
        <v>1</v>
      </c>
      <c r="D2" s="149"/>
      <c r="E2" s="150" t="s">
        <v>22</v>
      </c>
      <c r="F2" s="151"/>
      <c r="G2" s="152"/>
      <c r="H2" s="153"/>
      <c r="I2" s="153"/>
      <c r="J2" s="154"/>
      <c r="K2" s="153"/>
    </row>
    <row r="3" spans="1:11" x14ac:dyDescent="0.25">
      <c r="A3" s="6" t="s">
        <v>2</v>
      </c>
      <c r="B3" s="234">
        <v>2022</v>
      </c>
      <c r="C3" s="7" t="s">
        <v>2</v>
      </c>
      <c r="D3" s="238">
        <v>2023</v>
      </c>
      <c r="E3" s="155" t="s">
        <v>18</v>
      </c>
      <c r="F3" s="242">
        <v>3.2500000000000001E-2</v>
      </c>
      <c r="G3" s="156">
        <f>NPV(F3,'Revenue Summary'!B16:AE16)</f>
        <v>16381326.301991608</v>
      </c>
      <c r="H3" s="153"/>
      <c r="I3" s="153"/>
      <c r="J3" s="153"/>
      <c r="K3" s="153"/>
    </row>
    <row r="4" spans="1:11" x14ac:dyDescent="0.25">
      <c r="A4" s="6" t="s">
        <v>3</v>
      </c>
      <c r="B4" s="235">
        <v>10.38</v>
      </c>
      <c r="C4" s="7" t="s">
        <v>3</v>
      </c>
      <c r="D4" s="239">
        <v>4.28</v>
      </c>
      <c r="E4" s="155" t="s">
        <v>17</v>
      </c>
      <c r="F4" s="243">
        <v>0.05</v>
      </c>
      <c r="G4" s="156">
        <f>-G3*F4</f>
        <v>-819066.31509958045</v>
      </c>
      <c r="H4" s="153"/>
      <c r="I4" s="153"/>
      <c r="J4" s="153"/>
      <c r="K4" s="153"/>
    </row>
    <row r="5" spans="1:11" x14ac:dyDescent="0.25">
      <c r="A5" s="6" t="s">
        <v>4</v>
      </c>
      <c r="B5" s="236">
        <v>293</v>
      </c>
      <c r="C5" s="7" t="s">
        <v>4</v>
      </c>
      <c r="D5" s="240">
        <v>12</v>
      </c>
      <c r="E5" s="155" t="s">
        <v>21</v>
      </c>
      <c r="F5" s="243">
        <v>0.04</v>
      </c>
      <c r="G5" s="156">
        <f>-G3*F5</f>
        <v>-655253.05207966431</v>
      </c>
      <c r="H5" s="153"/>
      <c r="I5" s="153"/>
      <c r="J5" s="153"/>
      <c r="K5" s="153"/>
    </row>
    <row r="6" spans="1:11" x14ac:dyDescent="0.25">
      <c r="A6" s="6" t="s">
        <v>5</v>
      </c>
      <c r="B6" s="237">
        <v>132000</v>
      </c>
      <c r="C6" s="7" t="s">
        <v>5</v>
      </c>
      <c r="D6" s="241">
        <v>750000</v>
      </c>
      <c r="E6" s="158" t="s">
        <v>16</v>
      </c>
      <c r="F6" s="244">
        <v>0.1</v>
      </c>
      <c r="G6" s="156">
        <f>G3*F6*-1</f>
        <v>-1638132.6301991609</v>
      </c>
      <c r="H6" s="153"/>
      <c r="I6" s="153"/>
      <c r="J6" s="153"/>
      <c r="K6" s="153"/>
    </row>
    <row r="7" spans="1:11" x14ac:dyDescent="0.25">
      <c r="A7" s="6" t="s">
        <v>71</v>
      </c>
      <c r="B7" s="8">
        <f>H28*B4</f>
        <v>869325.00000000012</v>
      </c>
      <c r="C7" s="7" t="s">
        <v>71</v>
      </c>
      <c r="D7" s="14">
        <f>H28*D4</f>
        <v>358450</v>
      </c>
      <c r="E7" s="160" t="s">
        <v>15</v>
      </c>
      <c r="F7" s="161"/>
      <c r="G7" s="162">
        <f>SUM(G3:G6)</f>
        <v>13268874.304613203</v>
      </c>
      <c r="H7" s="153"/>
      <c r="I7" s="153"/>
      <c r="J7" s="153"/>
      <c r="K7" s="153"/>
    </row>
    <row r="8" spans="1:11" x14ac:dyDescent="0.25">
      <c r="A8" s="6" t="s">
        <v>7</v>
      </c>
      <c r="B8" s="8">
        <f>B5*B6-B7</f>
        <v>37806675</v>
      </c>
      <c r="C8" s="7" t="s">
        <v>7</v>
      </c>
      <c r="D8" s="14">
        <f>D5*D6-D7</f>
        <v>8641550</v>
      </c>
      <c r="E8" s="155"/>
      <c r="F8" s="161"/>
      <c r="G8" s="163"/>
      <c r="H8" s="153"/>
      <c r="I8" s="153"/>
      <c r="J8" s="153"/>
      <c r="K8" s="153"/>
    </row>
    <row r="9" spans="1:11" x14ac:dyDescent="0.25">
      <c r="A9" s="6" t="s">
        <v>74</v>
      </c>
      <c r="B9" s="164">
        <f>$H$30*B8</f>
        <v>4536801</v>
      </c>
      <c r="C9" s="7" t="s">
        <v>74</v>
      </c>
      <c r="D9" s="165">
        <f>$H$30*D8</f>
        <v>1036986</v>
      </c>
      <c r="E9" s="166" t="s">
        <v>78</v>
      </c>
      <c r="F9" s="167"/>
      <c r="G9" s="168"/>
      <c r="H9" s="153"/>
      <c r="I9" s="153"/>
      <c r="J9" s="153"/>
      <c r="K9" s="153"/>
    </row>
    <row r="10" spans="1:11" x14ac:dyDescent="0.25">
      <c r="A10" s="9" t="s">
        <v>72</v>
      </c>
      <c r="B10" s="169">
        <f>B8-B9</f>
        <v>33269874</v>
      </c>
      <c r="C10" s="10" t="s">
        <v>72</v>
      </c>
      <c r="D10" s="170">
        <f>D8-D9</f>
        <v>7604564</v>
      </c>
      <c r="E10" s="155" t="s">
        <v>19</v>
      </c>
      <c r="F10" s="242">
        <v>0.09</v>
      </c>
      <c r="G10" s="156">
        <f>NPV(F3,'Revenue Summary'!B19:AE19)</f>
        <v>1638132.6301991625</v>
      </c>
      <c r="H10" s="153"/>
      <c r="I10" s="153"/>
      <c r="J10" s="153"/>
      <c r="K10" s="153"/>
    </row>
    <row r="11" spans="1:11" x14ac:dyDescent="0.25">
      <c r="A11" s="6" t="s">
        <v>73</v>
      </c>
      <c r="B11" s="164">
        <f>SUM(B7,B9,B10)</f>
        <v>38676000</v>
      </c>
      <c r="C11" s="7" t="s">
        <v>73</v>
      </c>
      <c r="D11" s="165">
        <f>SUM(D7,D9,D10)</f>
        <v>9000000</v>
      </c>
      <c r="E11" s="171" t="s">
        <v>21</v>
      </c>
      <c r="F11" s="157">
        <f>F4</f>
        <v>0.05</v>
      </c>
      <c r="G11" s="156">
        <f>-G10*F11</f>
        <v>-81906.631509958126</v>
      </c>
      <c r="H11" s="161"/>
      <c r="I11" s="153"/>
      <c r="J11" s="153"/>
      <c r="K11" s="153"/>
    </row>
    <row r="12" spans="1:11" x14ac:dyDescent="0.25">
      <c r="A12" s="172"/>
      <c r="B12" s="161"/>
      <c r="C12" s="173"/>
      <c r="D12" s="174"/>
      <c r="E12" s="155" t="s">
        <v>17</v>
      </c>
      <c r="F12" s="157">
        <f>F5</f>
        <v>0.04</v>
      </c>
      <c r="G12" s="156">
        <f>-G10*F12</f>
        <v>-65525.305207966499</v>
      </c>
      <c r="H12" s="153"/>
      <c r="I12" s="153"/>
      <c r="J12" s="153"/>
      <c r="K12" s="153"/>
    </row>
    <row r="13" spans="1:11" x14ac:dyDescent="0.25">
      <c r="A13" s="175" t="s">
        <v>10</v>
      </c>
      <c r="B13" s="176"/>
      <c r="C13" s="177" t="s">
        <v>86</v>
      </c>
      <c r="D13" s="178"/>
      <c r="E13" s="158" t="s">
        <v>16</v>
      </c>
      <c r="F13" s="159">
        <f>F6</f>
        <v>0.1</v>
      </c>
      <c r="G13" s="156">
        <f>G10*F13*-1</f>
        <v>-163813.26301991625</v>
      </c>
      <c r="H13" s="153"/>
      <c r="I13" s="153"/>
      <c r="J13" s="153"/>
      <c r="K13" s="153"/>
    </row>
    <row r="14" spans="1:11" ht="15.75" thickBot="1" x14ac:dyDescent="0.3">
      <c r="A14" s="6" t="s">
        <v>2</v>
      </c>
      <c r="B14" s="234">
        <v>2022</v>
      </c>
      <c r="C14" s="7" t="s">
        <v>2</v>
      </c>
      <c r="D14" s="238">
        <v>2023</v>
      </c>
      <c r="E14" s="160" t="s">
        <v>15</v>
      </c>
      <c r="F14" s="161"/>
      <c r="G14" s="179">
        <f>SUM(G10:G13)</f>
        <v>1326887.4304613215</v>
      </c>
      <c r="H14" s="153"/>
      <c r="I14" s="153"/>
      <c r="J14" s="153"/>
      <c r="K14" s="153"/>
    </row>
    <row r="15" spans="1:11" x14ac:dyDescent="0.25">
      <c r="A15" s="6" t="s">
        <v>3</v>
      </c>
      <c r="B15" s="235">
        <v>1.67</v>
      </c>
      <c r="C15" s="7" t="s">
        <v>3</v>
      </c>
      <c r="D15" s="239">
        <v>1.0585714285714285</v>
      </c>
      <c r="E15" s="150" t="s">
        <v>25</v>
      </c>
      <c r="F15" s="180"/>
      <c r="G15" s="181"/>
      <c r="H15" s="153"/>
      <c r="I15" s="153"/>
      <c r="J15" s="153"/>
      <c r="K15" s="153"/>
    </row>
    <row r="16" spans="1:11" ht="15.75" thickBot="1" x14ac:dyDescent="0.3">
      <c r="A16" s="6" t="s">
        <v>4</v>
      </c>
      <c r="B16" s="236">
        <v>43000</v>
      </c>
      <c r="C16" s="7" t="s">
        <v>4</v>
      </c>
      <c r="D16" s="240">
        <v>31</v>
      </c>
      <c r="E16" s="182" t="s">
        <v>24</v>
      </c>
      <c r="F16" s="183"/>
      <c r="G16" s="245">
        <v>1.1000000000000001</v>
      </c>
      <c r="H16" s="153"/>
      <c r="I16" s="153"/>
      <c r="J16" s="153"/>
      <c r="K16" s="153"/>
    </row>
    <row r="17" spans="1:11" x14ac:dyDescent="0.25">
      <c r="A17" s="6" t="s">
        <v>5</v>
      </c>
      <c r="B17" s="237">
        <v>160</v>
      </c>
      <c r="C17" s="7" t="s">
        <v>5</v>
      </c>
      <c r="D17" s="241">
        <v>550000</v>
      </c>
      <c r="E17" s="172" t="s">
        <v>85</v>
      </c>
      <c r="F17" s="184"/>
      <c r="G17" s="185"/>
      <c r="H17" s="153"/>
      <c r="I17" s="153"/>
      <c r="J17" s="153"/>
      <c r="K17" s="153"/>
    </row>
    <row r="18" spans="1:11" x14ac:dyDescent="0.25">
      <c r="A18" s="6" t="s">
        <v>71</v>
      </c>
      <c r="B18" s="8">
        <f>H28*B15</f>
        <v>139862.5</v>
      </c>
      <c r="C18" s="7" t="s">
        <v>71</v>
      </c>
      <c r="D18" s="14">
        <f>H28*D15</f>
        <v>88655.35714285713</v>
      </c>
      <c r="E18" s="186"/>
      <c r="F18" s="187" t="s">
        <v>14</v>
      </c>
      <c r="G18" s="188" t="s">
        <v>78</v>
      </c>
      <c r="H18" s="153"/>
      <c r="I18" s="153"/>
      <c r="J18" s="153"/>
      <c r="K18" s="153"/>
    </row>
    <row r="19" spans="1:11" x14ac:dyDescent="0.25">
      <c r="A19" s="6" t="s">
        <v>7</v>
      </c>
      <c r="B19" s="8">
        <f>B16*B17-B18</f>
        <v>6740137.5</v>
      </c>
      <c r="C19" s="7" t="s">
        <v>7</v>
      </c>
      <c r="D19" s="14">
        <f>D16*D17-D18</f>
        <v>16961344.642857142</v>
      </c>
      <c r="E19" s="189" t="s">
        <v>13</v>
      </c>
      <c r="F19" s="190">
        <f>G3</f>
        <v>16381326.301991608</v>
      </c>
      <c r="G19" s="191">
        <f>G10</f>
        <v>1638132.6301991625</v>
      </c>
      <c r="H19" s="153"/>
      <c r="I19" s="153"/>
      <c r="J19" s="153"/>
      <c r="K19" s="153"/>
    </row>
    <row r="20" spans="1:11" x14ac:dyDescent="0.25">
      <c r="A20" s="6" t="s">
        <v>74</v>
      </c>
      <c r="B20" s="164">
        <f>$H$30*B19</f>
        <v>808816.5</v>
      </c>
      <c r="C20" s="7" t="s">
        <v>74</v>
      </c>
      <c r="D20" s="165">
        <f>$H$30*D19</f>
        <v>2035361.357142857</v>
      </c>
      <c r="E20" s="192" t="s">
        <v>12</v>
      </c>
      <c r="F20" s="190">
        <f>G7</f>
        <v>13268874.304613203</v>
      </c>
      <c r="G20" s="193">
        <f>G14</f>
        <v>1326887.4304613215</v>
      </c>
      <c r="H20" s="153"/>
      <c r="I20" s="153"/>
      <c r="J20" s="153"/>
      <c r="K20" s="153"/>
    </row>
    <row r="21" spans="1:11" x14ac:dyDescent="0.25">
      <c r="A21" s="9" t="s">
        <v>72</v>
      </c>
      <c r="B21" s="169">
        <f>B19-B20</f>
        <v>5931321</v>
      </c>
      <c r="C21" s="10" t="s">
        <v>72</v>
      </c>
      <c r="D21" s="170">
        <f>D19-D20</f>
        <v>14925983.285714285</v>
      </c>
      <c r="E21" s="192"/>
      <c r="F21" s="190"/>
      <c r="G21" s="194"/>
      <c r="H21" s="153"/>
      <c r="I21" s="153"/>
      <c r="J21" s="153"/>
      <c r="K21" s="153"/>
    </row>
    <row r="22" spans="1:11" ht="15.75" thickBot="1" x14ac:dyDescent="0.3">
      <c r="A22" s="11" t="s">
        <v>73</v>
      </c>
      <c r="B22" s="195">
        <f>SUM(B18,B20,B21)</f>
        <v>6880000</v>
      </c>
      <c r="C22" s="12" t="s">
        <v>73</v>
      </c>
      <c r="D22" s="196">
        <f>SUM(D18,D20,D21)</f>
        <v>17050000</v>
      </c>
      <c r="E22" s="197" t="s">
        <v>11</v>
      </c>
      <c r="F22" s="198">
        <f>G7+G14</f>
        <v>14595761.735074524</v>
      </c>
      <c r="G22" s="199">
        <f>F22/$F$22</f>
        <v>1</v>
      </c>
      <c r="H22" s="153"/>
      <c r="I22" s="153"/>
      <c r="J22" s="153"/>
      <c r="K22" s="153"/>
    </row>
    <row r="23" spans="1:11" x14ac:dyDescent="0.25">
      <c r="A23" s="7"/>
      <c r="B23" s="164"/>
      <c r="C23" s="7"/>
      <c r="D23" s="164"/>
      <c r="E23" s="200"/>
      <c r="F23" s="109"/>
      <c r="G23" s="110"/>
      <c r="H23" s="153"/>
      <c r="I23" s="153"/>
      <c r="J23" s="153"/>
      <c r="K23" s="153"/>
    </row>
    <row r="24" spans="1:11" ht="15.75" thickBot="1" x14ac:dyDescent="0.3">
      <c r="A24" s="153"/>
      <c r="B24" s="153"/>
      <c r="C24" s="153"/>
      <c r="D24" s="153"/>
      <c r="E24" s="153"/>
      <c r="F24" s="153"/>
      <c r="G24" s="153"/>
      <c r="H24" s="153"/>
      <c r="I24" s="153"/>
      <c r="J24" s="153"/>
      <c r="K24" s="153"/>
    </row>
    <row r="25" spans="1:11" ht="15.75" thickBot="1" x14ac:dyDescent="0.3">
      <c r="A25" s="201" t="s">
        <v>26</v>
      </c>
      <c r="B25" s="202" t="s">
        <v>81</v>
      </c>
      <c r="C25" s="202"/>
      <c r="D25" s="202"/>
      <c r="E25" s="202"/>
      <c r="F25" s="203"/>
      <c r="G25" s="204" t="s">
        <v>27</v>
      </c>
      <c r="H25" s="205"/>
      <c r="I25" s="206" t="s">
        <v>79</v>
      </c>
      <c r="J25" s="207" t="s">
        <v>35</v>
      </c>
      <c r="K25" s="152" t="s">
        <v>36</v>
      </c>
    </row>
    <row r="26" spans="1:11" x14ac:dyDescent="0.25">
      <c r="A26" s="208" t="s">
        <v>28</v>
      </c>
      <c r="B26" s="209" t="s">
        <v>29</v>
      </c>
      <c r="C26" s="210" t="s">
        <v>30</v>
      </c>
      <c r="D26" s="211" t="s">
        <v>31</v>
      </c>
      <c r="E26" s="212" t="s">
        <v>32</v>
      </c>
      <c r="F26" s="211" t="s">
        <v>33</v>
      </c>
      <c r="G26" s="213" t="s">
        <v>34</v>
      </c>
      <c r="H26" s="257">
        <v>80</v>
      </c>
      <c r="I26" s="207" t="s">
        <v>37</v>
      </c>
      <c r="J26" s="246">
        <v>5.7772736000000005E-2</v>
      </c>
      <c r="K26" s="247">
        <v>6.6633321999999995E-2</v>
      </c>
    </row>
    <row r="27" spans="1:11" x14ac:dyDescent="0.25">
      <c r="A27" s="215" t="s">
        <v>74</v>
      </c>
      <c r="B27" s="250">
        <v>10</v>
      </c>
      <c r="C27" s="251">
        <v>1</v>
      </c>
      <c r="D27" s="216">
        <f t="shared" ref="D27:D33" si="0">1-C27</f>
        <v>0</v>
      </c>
      <c r="E27" s="259">
        <v>0.5</v>
      </c>
      <c r="F27" s="216">
        <f>IF((C27-D27-E27)&lt;0,0,(C27-D27-E27))</f>
        <v>0.5</v>
      </c>
      <c r="G27" s="213" t="s">
        <v>6</v>
      </c>
      <c r="H27" s="237">
        <v>6700000</v>
      </c>
      <c r="I27" s="167" t="s">
        <v>39</v>
      </c>
      <c r="J27" s="248">
        <v>2.2720331999999999E-2</v>
      </c>
      <c r="K27" s="249">
        <v>2.3702183000000002E-2</v>
      </c>
    </row>
    <row r="28" spans="1:11" ht="15.75" thickBot="1" x14ac:dyDescent="0.3">
      <c r="A28" s="192" t="s">
        <v>0</v>
      </c>
      <c r="B28" s="252">
        <v>15</v>
      </c>
      <c r="C28" s="251">
        <v>1</v>
      </c>
      <c r="D28" s="216">
        <f t="shared" si="0"/>
        <v>0</v>
      </c>
      <c r="E28" s="251">
        <v>0.5</v>
      </c>
      <c r="F28" s="216">
        <f t="shared" ref="F28:F33" si="1">IF((C28-E28)&lt;0,0,(C28-E28))</f>
        <v>0.5</v>
      </c>
      <c r="G28" s="218" t="s">
        <v>38</v>
      </c>
      <c r="H28" s="219">
        <f>H27/H26</f>
        <v>83750</v>
      </c>
      <c r="I28" s="220" t="s">
        <v>15</v>
      </c>
      <c r="J28" s="221">
        <f>SUM(J26:J27)</f>
        <v>8.0493068000000001E-2</v>
      </c>
      <c r="K28" s="222">
        <f>SUM(K26:K27)</f>
        <v>9.0335504999999997E-2</v>
      </c>
    </row>
    <row r="29" spans="1:11" ht="15.75" thickBot="1" x14ac:dyDescent="0.3">
      <c r="A29" s="192" t="s">
        <v>75</v>
      </c>
      <c r="B29" s="252">
        <v>15</v>
      </c>
      <c r="C29" s="251">
        <v>1</v>
      </c>
      <c r="D29" s="216">
        <f t="shared" si="0"/>
        <v>0</v>
      </c>
      <c r="E29" s="251">
        <v>0.5</v>
      </c>
      <c r="F29" s="216">
        <f t="shared" si="1"/>
        <v>0.5</v>
      </c>
      <c r="G29" s="213"/>
      <c r="H29" s="8"/>
      <c r="I29" s="206" t="s">
        <v>80</v>
      </c>
      <c r="J29" s="207" t="s">
        <v>35</v>
      </c>
      <c r="K29" s="152" t="s">
        <v>36</v>
      </c>
    </row>
    <row r="30" spans="1:11" x14ac:dyDescent="0.25">
      <c r="A30" s="192" t="s">
        <v>10</v>
      </c>
      <c r="B30" s="252">
        <v>10</v>
      </c>
      <c r="C30" s="251">
        <v>0.75</v>
      </c>
      <c r="D30" s="216">
        <f t="shared" si="0"/>
        <v>0.25</v>
      </c>
      <c r="E30" s="251">
        <v>0.25</v>
      </c>
      <c r="F30" s="216">
        <f t="shared" si="1"/>
        <v>0.5</v>
      </c>
      <c r="G30" s="223" t="s">
        <v>40</v>
      </c>
      <c r="H30" s="258">
        <v>0.12</v>
      </c>
      <c r="I30" s="207" t="s">
        <v>37</v>
      </c>
      <c r="J30" s="246">
        <v>0</v>
      </c>
      <c r="K30" s="247">
        <v>0</v>
      </c>
    </row>
    <row r="31" spans="1:11" x14ac:dyDescent="0.25">
      <c r="A31" s="192" t="s">
        <v>41</v>
      </c>
      <c r="B31" s="253">
        <v>0</v>
      </c>
      <c r="C31" s="254">
        <v>0</v>
      </c>
      <c r="D31" s="216">
        <f t="shared" si="0"/>
        <v>1</v>
      </c>
      <c r="E31" s="254">
        <v>0</v>
      </c>
      <c r="F31" s="216">
        <f t="shared" si="1"/>
        <v>0</v>
      </c>
      <c r="G31" s="213"/>
      <c r="H31" s="214"/>
      <c r="I31" s="167" t="s">
        <v>39</v>
      </c>
      <c r="J31" s="248">
        <v>0</v>
      </c>
      <c r="K31" s="249">
        <v>0</v>
      </c>
    </row>
    <row r="32" spans="1:11" ht="15.75" thickBot="1" x14ac:dyDescent="0.3">
      <c r="A32" s="192" t="s">
        <v>76</v>
      </c>
      <c r="B32" s="253">
        <v>15</v>
      </c>
      <c r="C32" s="254">
        <v>1</v>
      </c>
      <c r="D32" s="216">
        <f t="shared" si="0"/>
        <v>0</v>
      </c>
      <c r="E32" s="254">
        <v>0.5</v>
      </c>
      <c r="F32" s="216">
        <f t="shared" si="1"/>
        <v>0.5</v>
      </c>
      <c r="G32" s="161"/>
      <c r="H32" s="161"/>
      <c r="I32" s="220" t="s">
        <v>15</v>
      </c>
      <c r="J32" s="221">
        <f>SUM(J30:J31)</f>
        <v>0</v>
      </c>
      <c r="K32" s="222">
        <f>SUM(K30:K31)</f>
        <v>0</v>
      </c>
    </row>
    <row r="33" spans="1:11" ht="15.75" thickBot="1" x14ac:dyDescent="0.3">
      <c r="A33" s="224" t="s">
        <v>42</v>
      </c>
      <c r="B33" s="255">
        <v>0</v>
      </c>
      <c r="C33" s="256">
        <v>0</v>
      </c>
      <c r="D33" s="226">
        <f t="shared" si="0"/>
        <v>1</v>
      </c>
      <c r="E33" s="256">
        <v>0</v>
      </c>
      <c r="F33" s="226">
        <f t="shared" si="1"/>
        <v>0</v>
      </c>
      <c r="G33" s="260"/>
      <c r="H33" s="217"/>
      <c r="I33" s="226"/>
      <c r="J33" s="225"/>
      <c r="K33" s="227"/>
    </row>
    <row r="34" spans="1:11" ht="15.75" thickBot="1" x14ac:dyDescent="0.3">
      <c r="A34" s="201" t="s">
        <v>26</v>
      </c>
      <c r="B34" s="202" t="s">
        <v>82</v>
      </c>
      <c r="C34" s="202"/>
      <c r="D34" s="202"/>
      <c r="E34" s="202"/>
      <c r="F34" s="203"/>
      <c r="G34" s="261" t="s">
        <v>83</v>
      </c>
      <c r="H34" s="263">
        <v>0.03</v>
      </c>
      <c r="I34" s="153"/>
      <c r="J34" s="153"/>
      <c r="K34" s="153"/>
    </row>
    <row r="35" spans="1:11" ht="15.75" thickBot="1" x14ac:dyDescent="0.3">
      <c r="A35" s="228" t="s">
        <v>28</v>
      </c>
      <c r="B35" s="229" t="s">
        <v>29</v>
      </c>
      <c r="C35" s="230" t="s">
        <v>30</v>
      </c>
      <c r="D35" s="231" t="s">
        <v>31</v>
      </c>
      <c r="E35" s="232" t="s">
        <v>32</v>
      </c>
      <c r="F35" s="231" t="s">
        <v>33</v>
      </c>
      <c r="G35" s="262" t="s">
        <v>84</v>
      </c>
      <c r="H35" s="264">
        <v>0.06</v>
      </c>
      <c r="I35" s="153"/>
      <c r="J35" s="153"/>
      <c r="K35" s="153"/>
    </row>
    <row r="36" spans="1:11" x14ac:dyDescent="0.25">
      <c r="A36" s="215" t="s">
        <v>74</v>
      </c>
      <c r="B36" s="250">
        <v>10</v>
      </c>
      <c r="C36" s="251">
        <v>1</v>
      </c>
      <c r="D36" s="216">
        <f t="shared" ref="D36:D42" si="2">1-C36</f>
        <v>0</v>
      </c>
      <c r="E36" s="259">
        <v>0.5</v>
      </c>
      <c r="F36" s="233">
        <f>IF((C36-D36-E36)&lt;0,0,(C36-D36-E36))</f>
        <v>0.5</v>
      </c>
      <c r="G36" s="153"/>
      <c r="H36" s="153"/>
      <c r="I36" s="153"/>
      <c r="J36" s="153"/>
      <c r="K36" s="153"/>
    </row>
    <row r="37" spans="1:11" x14ac:dyDescent="0.25">
      <c r="A37" s="192" t="s">
        <v>0</v>
      </c>
      <c r="B37" s="252">
        <v>15</v>
      </c>
      <c r="C37" s="251">
        <v>1</v>
      </c>
      <c r="D37" s="216">
        <f t="shared" si="2"/>
        <v>0</v>
      </c>
      <c r="E37" s="251">
        <v>0.5</v>
      </c>
      <c r="F37" s="233">
        <f t="shared" ref="F37:F42" si="3">IF((C37-E37)&lt;0,0,(C37-E37))</f>
        <v>0.5</v>
      </c>
      <c r="G37" s="153"/>
      <c r="H37" s="153"/>
      <c r="I37" s="153"/>
      <c r="J37" s="153"/>
      <c r="K37" s="153"/>
    </row>
    <row r="38" spans="1:11" x14ac:dyDescent="0.25">
      <c r="A38" s="192" t="s">
        <v>75</v>
      </c>
      <c r="B38" s="252">
        <v>15</v>
      </c>
      <c r="C38" s="251">
        <v>1</v>
      </c>
      <c r="D38" s="216">
        <f t="shared" si="2"/>
        <v>0</v>
      </c>
      <c r="E38" s="251">
        <v>0.5</v>
      </c>
      <c r="F38" s="233">
        <f t="shared" si="3"/>
        <v>0.5</v>
      </c>
      <c r="G38" s="153"/>
      <c r="H38" s="153"/>
      <c r="I38" s="153"/>
      <c r="J38" s="153"/>
      <c r="K38" s="153"/>
    </row>
    <row r="39" spans="1:11" x14ac:dyDescent="0.25">
      <c r="A39" s="192" t="s">
        <v>10</v>
      </c>
      <c r="B39" s="252">
        <v>10</v>
      </c>
      <c r="C39" s="251">
        <v>0.75</v>
      </c>
      <c r="D39" s="216">
        <f t="shared" si="2"/>
        <v>0.25</v>
      </c>
      <c r="E39" s="251">
        <v>0.25</v>
      </c>
      <c r="F39" s="233">
        <f t="shared" si="3"/>
        <v>0.5</v>
      </c>
      <c r="G39" s="153"/>
      <c r="H39" s="153"/>
      <c r="I39" s="153"/>
      <c r="J39" s="153"/>
      <c r="K39" s="153"/>
    </row>
    <row r="40" spans="1:11" x14ac:dyDescent="0.25">
      <c r="A40" s="192" t="s">
        <v>41</v>
      </c>
      <c r="B40" s="253">
        <v>0</v>
      </c>
      <c r="C40" s="254">
        <v>0</v>
      </c>
      <c r="D40" s="216">
        <f t="shared" si="2"/>
        <v>1</v>
      </c>
      <c r="E40" s="254">
        <v>0</v>
      </c>
      <c r="F40" s="233">
        <f t="shared" si="3"/>
        <v>0</v>
      </c>
      <c r="G40" s="153"/>
      <c r="H40" s="153"/>
      <c r="I40" s="153"/>
      <c r="J40" s="153"/>
      <c r="K40" s="153"/>
    </row>
    <row r="41" spans="1:11" x14ac:dyDescent="0.25">
      <c r="A41" s="192" t="s">
        <v>76</v>
      </c>
      <c r="B41" s="253">
        <v>15</v>
      </c>
      <c r="C41" s="254">
        <v>1</v>
      </c>
      <c r="D41" s="216">
        <f t="shared" si="2"/>
        <v>0</v>
      </c>
      <c r="E41" s="254">
        <v>0.5</v>
      </c>
      <c r="F41" s="233">
        <f t="shared" si="3"/>
        <v>0.5</v>
      </c>
      <c r="G41" s="153"/>
      <c r="H41" s="153"/>
      <c r="I41" s="153"/>
      <c r="J41" s="153"/>
      <c r="K41" s="153"/>
    </row>
    <row r="42" spans="1:11" ht="15.75" thickBot="1" x14ac:dyDescent="0.3">
      <c r="A42" s="224" t="s">
        <v>42</v>
      </c>
      <c r="B42" s="255">
        <v>0</v>
      </c>
      <c r="C42" s="256">
        <v>0</v>
      </c>
      <c r="D42" s="226">
        <f t="shared" si="2"/>
        <v>1</v>
      </c>
      <c r="E42" s="256">
        <v>0</v>
      </c>
      <c r="F42" s="227">
        <f t="shared" si="3"/>
        <v>0</v>
      </c>
      <c r="G42" s="153"/>
      <c r="H42" s="153"/>
      <c r="I42" s="153"/>
      <c r="J42" s="153"/>
      <c r="K42" s="153"/>
    </row>
    <row r="43" spans="1:11" x14ac:dyDescent="0.25">
      <c r="A43" s="153"/>
      <c r="B43" s="153"/>
      <c r="C43" s="153"/>
      <c r="D43" s="153"/>
      <c r="E43" s="153"/>
      <c r="F43" s="153"/>
      <c r="G43" s="153"/>
      <c r="H43" s="153"/>
      <c r="I43" s="153"/>
      <c r="J43" s="153"/>
      <c r="K43" s="153"/>
    </row>
    <row r="44" spans="1:11" x14ac:dyDescent="0.25">
      <c r="A44" s="153"/>
      <c r="B44" s="153"/>
      <c r="C44" s="153"/>
      <c r="D44" s="153"/>
      <c r="E44" s="153"/>
      <c r="F44" s="153"/>
      <c r="G44" s="153"/>
      <c r="H44" s="153"/>
      <c r="I44" s="153"/>
      <c r="J44" s="153"/>
      <c r="K44" s="153"/>
    </row>
    <row r="45" spans="1:11" x14ac:dyDescent="0.25">
      <c r="A45" s="153"/>
      <c r="B45" s="153"/>
      <c r="C45" s="153"/>
      <c r="D45" s="153"/>
      <c r="E45" s="153"/>
      <c r="F45" s="153"/>
      <c r="G45" s="153"/>
      <c r="H45" s="153"/>
      <c r="I45" s="153"/>
      <c r="J45" s="153"/>
      <c r="K45" s="153"/>
    </row>
  </sheetData>
  <pageMargins left="0.25" right="0.25" top="0.71" bottom="0.18" header="0.3" footer="0.3"/>
  <pageSetup scale="46" fitToHeight="18" orientation="landscape" horizontalDpi="1200" verticalDpi="1200" r:id="rId1"/>
  <headerFooter>
    <oddHeader>&amp;C&amp;"-,Bold"&amp;12Quarry Trails
Revenue Totals and
&amp;A</oddHeader>
  </headerFooter>
  <colBreaks count="1" manualBreakCount="1">
    <brk id="7" max="21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B9AC2-BF34-4994-8982-A058D63450AE}">
  <sheetPr>
    <pageSetUpPr fitToPage="1"/>
  </sheetPr>
  <dimension ref="A1:AE108"/>
  <sheetViews>
    <sheetView zoomScale="85" zoomScaleNormal="85" zoomScaleSheetLayoutView="85" workbookViewId="0">
      <pane xSplit="1" ySplit="4" topLeftCell="B67" activePane="bottomRight" state="frozen"/>
      <selection pane="topRight" activeCell="B1" sqref="B1"/>
      <selection pane="bottomLeft" activeCell="A5" sqref="A5"/>
      <selection pane="bottomRight" activeCell="A70" sqref="A70"/>
    </sheetView>
  </sheetViews>
  <sheetFormatPr defaultColWidth="7.42578125" defaultRowHeight="15" outlineLevelRow="1" x14ac:dyDescent="0.25"/>
  <cols>
    <col min="1" max="1" width="38.7109375" style="15" bestFit="1" customWidth="1"/>
    <col min="2" max="2" width="14" style="15" bestFit="1" customWidth="1"/>
    <col min="3" max="31" width="12.28515625" style="15" bestFit="1" customWidth="1"/>
    <col min="32" max="16384" width="7.42578125" style="15"/>
  </cols>
  <sheetData>
    <row r="1" spans="1:31" s="96" customFormat="1" ht="12.75" x14ac:dyDescent="0.2">
      <c r="A1" s="106" t="s">
        <v>67</v>
      </c>
      <c r="B1" s="105">
        <v>2020</v>
      </c>
      <c r="C1" s="102">
        <f t="shared" ref="C1:AE1" si="0">B1+1</f>
        <v>2021</v>
      </c>
      <c r="D1" s="102">
        <f t="shared" si="0"/>
        <v>2022</v>
      </c>
      <c r="E1" s="103">
        <f t="shared" si="0"/>
        <v>2023</v>
      </c>
      <c r="F1" s="102">
        <f t="shared" si="0"/>
        <v>2024</v>
      </c>
      <c r="G1" s="102">
        <f t="shared" si="0"/>
        <v>2025</v>
      </c>
      <c r="H1" s="104">
        <f t="shared" si="0"/>
        <v>2026</v>
      </c>
      <c r="I1" s="102">
        <f t="shared" si="0"/>
        <v>2027</v>
      </c>
      <c r="J1" s="102">
        <f t="shared" si="0"/>
        <v>2028</v>
      </c>
      <c r="K1" s="103">
        <f t="shared" si="0"/>
        <v>2029</v>
      </c>
      <c r="L1" s="102">
        <f t="shared" si="0"/>
        <v>2030</v>
      </c>
      <c r="M1" s="102">
        <f t="shared" si="0"/>
        <v>2031</v>
      </c>
      <c r="N1" s="104">
        <f t="shared" si="0"/>
        <v>2032</v>
      </c>
      <c r="O1" s="102">
        <f t="shared" si="0"/>
        <v>2033</v>
      </c>
      <c r="P1" s="102">
        <f t="shared" si="0"/>
        <v>2034</v>
      </c>
      <c r="Q1" s="103">
        <f t="shared" si="0"/>
        <v>2035</v>
      </c>
      <c r="R1" s="102">
        <f t="shared" si="0"/>
        <v>2036</v>
      </c>
      <c r="S1" s="102">
        <f t="shared" si="0"/>
        <v>2037</v>
      </c>
      <c r="T1" s="104">
        <f t="shared" si="0"/>
        <v>2038</v>
      </c>
      <c r="U1" s="102">
        <f t="shared" si="0"/>
        <v>2039</v>
      </c>
      <c r="V1" s="102">
        <f t="shared" si="0"/>
        <v>2040</v>
      </c>
      <c r="W1" s="103">
        <f t="shared" si="0"/>
        <v>2041</v>
      </c>
      <c r="X1" s="102">
        <f t="shared" si="0"/>
        <v>2042</v>
      </c>
      <c r="Y1" s="102">
        <f t="shared" si="0"/>
        <v>2043</v>
      </c>
      <c r="Z1" s="104">
        <f t="shared" si="0"/>
        <v>2044</v>
      </c>
      <c r="AA1" s="102">
        <f t="shared" si="0"/>
        <v>2045</v>
      </c>
      <c r="AB1" s="102">
        <f t="shared" si="0"/>
        <v>2046</v>
      </c>
      <c r="AC1" s="103">
        <f t="shared" si="0"/>
        <v>2047</v>
      </c>
      <c r="AD1" s="102">
        <f t="shared" si="0"/>
        <v>2048</v>
      </c>
      <c r="AE1" s="101">
        <f t="shared" si="0"/>
        <v>2049</v>
      </c>
    </row>
    <row r="2" spans="1:31" s="96" customFormat="1" ht="13.5" thickBot="1" x14ac:dyDescent="0.25">
      <c r="A2" s="100" t="s">
        <v>66</v>
      </c>
      <c r="B2" s="99">
        <f t="shared" ref="B2:AE2" si="1">B1+1</f>
        <v>2021</v>
      </c>
      <c r="C2" s="98">
        <f t="shared" si="1"/>
        <v>2022</v>
      </c>
      <c r="D2" s="98">
        <f t="shared" si="1"/>
        <v>2023</v>
      </c>
      <c r="E2" s="98">
        <f t="shared" si="1"/>
        <v>2024</v>
      </c>
      <c r="F2" s="98">
        <f t="shared" si="1"/>
        <v>2025</v>
      </c>
      <c r="G2" s="98">
        <f t="shared" si="1"/>
        <v>2026</v>
      </c>
      <c r="H2" s="98">
        <f t="shared" si="1"/>
        <v>2027</v>
      </c>
      <c r="I2" s="98">
        <f t="shared" si="1"/>
        <v>2028</v>
      </c>
      <c r="J2" s="98">
        <f t="shared" si="1"/>
        <v>2029</v>
      </c>
      <c r="K2" s="98">
        <f t="shared" si="1"/>
        <v>2030</v>
      </c>
      <c r="L2" s="98">
        <f t="shared" si="1"/>
        <v>2031</v>
      </c>
      <c r="M2" s="98">
        <f t="shared" si="1"/>
        <v>2032</v>
      </c>
      <c r="N2" s="98">
        <f t="shared" si="1"/>
        <v>2033</v>
      </c>
      <c r="O2" s="98">
        <f t="shared" si="1"/>
        <v>2034</v>
      </c>
      <c r="P2" s="98">
        <f t="shared" si="1"/>
        <v>2035</v>
      </c>
      <c r="Q2" s="98">
        <f t="shared" si="1"/>
        <v>2036</v>
      </c>
      <c r="R2" s="98">
        <f t="shared" si="1"/>
        <v>2037</v>
      </c>
      <c r="S2" s="98">
        <f t="shared" si="1"/>
        <v>2038</v>
      </c>
      <c r="T2" s="98">
        <f t="shared" si="1"/>
        <v>2039</v>
      </c>
      <c r="U2" s="98">
        <f t="shared" si="1"/>
        <v>2040</v>
      </c>
      <c r="V2" s="98">
        <f t="shared" si="1"/>
        <v>2041</v>
      </c>
      <c r="W2" s="98">
        <f t="shared" si="1"/>
        <v>2042</v>
      </c>
      <c r="X2" s="98">
        <f t="shared" si="1"/>
        <v>2043</v>
      </c>
      <c r="Y2" s="98">
        <f t="shared" si="1"/>
        <v>2044</v>
      </c>
      <c r="Z2" s="98">
        <f t="shared" si="1"/>
        <v>2045</v>
      </c>
      <c r="AA2" s="98">
        <f t="shared" si="1"/>
        <v>2046</v>
      </c>
      <c r="AB2" s="98">
        <f t="shared" si="1"/>
        <v>2047</v>
      </c>
      <c r="AC2" s="98">
        <f t="shared" si="1"/>
        <v>2048</v>
      </c>
      <c r="AD2" s="98">
        <f t="shared" si="1"/>
        <v>2049</v>
      </c>
      <c r="AE2" s="97">
        <f t="shared" si="1"/>
        <v>2050</v>
      </c>
    </row>
    <row r="3" spans="1:31" s="88" customFormat="1" ht="12.75" x14ac:dyDescent="0.2">
      <c r="A3" s="120" t="s">
        <v>65</v>
      </c>
      <c r="B3" s="265">
        <f>Assumptions!$H$34</f>
        <v>0.03</v>
      </c>
      <c r="C3" s="93">
        <v>0</v>
      </c>
      <c r="D3" s="93">
        <v>0</v>
      </c>
      <c r="E3" s="266">
        <f>Assumptions!$H$35</f>
        <v>0.06</v>
      </c>
      <c r="F3" s="93">
        <v>0</v>
      </c>
      <c r="G3" s="93">
        <v>0</v>
      </c>
      <c r="H3" s="95">
        <f>B3</f>
        <v>0.03</v>
      </c>
      <c r="I3" s="93">
        <v>0</v>
      </c>
      <c r="J3" s="93">
        <v>0</v>
      </c>
      <c r="K3" s="94">
        <f>E3</f>
        <v>0.06</v>
      </c>
      <c r="L3" s="93">
        <v>0</v>
      </c>
      <c r="M3" s="93">
        <v>0</v>
      </c>
      <c r="N3" s="95">
        <f>H3</f>
        <v>0.03</v>
      </c>
      <c r="O3" s="93">
        <v>0</v>
      </c>
      <c r="P3" s="93">
        <v>0</v>
      </c>
      <c r="Q3" s="94">
        <f>K3</f>
        <v>0.06</v>
      </c>
      <c r="R3" s="93">
        <v>0</v>
      </c>
      <c r="S3" s="93">
        <v>0</v>
      </c>
      <c r="T3" s="95">
        <f>N3</f>
        <v>0.03</v>
      </c>
      <c r="U3" s="93">
        <v>0</v>
      </c>
      <c r="V3" s="93">
        <v>0</v>
      </c>
      <c r="W3" s="94">
        <f>Q3</f>
        <v>0.06</v>
      </c>
      <c r="X3" s="93">
        <v>0</v>
      </c>
      <c r="Y3" s="93">
        <v>0</v>
      </c>
      <c r="Z3" s="95">
        <f>T3</f>
        <v>0.03</v>
      </c>
      <c r="AA3" s="93">
        <v>0</v>
      </c>
      <c r="AB3" s="93">
        <v>0</v>
      </c>
      <c r="AC3" s="94">
        <f>W3</f>
        <v>0.06</v>
      </c>
      <c r="AD3" s="93">
        <v>0</v>
      </c>
      <c r="AE3" s="92">
        <v>0</v>
      </c>
    </row>
    <row r="4" spans="1:31" s="88" customFormat="1" ht="13.5" thickBot="1" x14ac:dyDescent="0.25">
      <c r="A4" s="121" t="s">
        <v>64</v>
      </c>
      <c r="B4" s="91">
        <f>SUM($B$3:B3)</f>
        <v>0.03</v>
      </c>
      <c r="C4" s="90">
        <f>B4</f>
        <v>0.03</v>
      </c>
      <c r="D4" s="90">
        <f>B4</f>
        <v>0.03</v>
      </c>
      <c r="E4" s="90">
        <f>((1+B4)*(1+E3))-1</f>
        <v>9.1800000000000104E-2</v>
      </c>
      <c r="F4" s="90">
        <f>E4</f>
        <v>9.1800000000000104E-2</v>
      </c>
      <c r="G4" s="90">
        <f>E4</f>
        <v>9.1800000000000104E-2</v>
      </c>
      <c r="H4" s="90">
        <f>((1+E4)*(1+H3))-1</f>
        <v>0.12455400000000005</v>
      </c>
      <c r="I4" s="90">
        <f>H4</f>
        <v>0.12455400000000005</v>
      </c>
      <c r="J4" s="90">
        <f>H4</f>
        <v>0.12455400000000005</v>
      </c>
      <c r="K4" s="90">
        <f>((1+H4)*(1+K3))-1</f>
        <v>0.19202724000000004</v>
      </c>
      <c r="L4" s="90">
        <f>K4</f>
        <v>0.19202724000000004</v>
      </c>
      <c r="M4" s="90">
        <f>K4</f>
        <v>0.19202724000000004</v>
      </c>
      <c r="N4" s="90">
        <f>((1+K4)*(1+N3))-1</f>
        <v>0.22778805720000017</v>
      </c>
      <c r="O4" s="90">
        <f>N4</f>
        <v>0.22778805720000017</v>
      </c>
      <c r="P4" s="90">
        <f>N4</f>
        <v>0.22778805720000017</v>
      </c>
      <c r="Q4" s="90">
        <f>((1+N4)*(1+Q3))-1</f>
        <v>0.30145534063200019</v>
      </c>
      <c r="R4" s="90">
        <f>Q4</f>
        <v>0.30145534063200019</v>
      </c>
      <c r="S4" s="90">
        <f>Q4</f>
        <v>0.30145534063200019</v>
      </c>
      <c r="T4" s="90">
        <f>((1+Q4)*(1+T3))-1</f>
        <v>0.3404990008509603</v>
      </c>
      <c r="U4" s="90">
        <f>T4</f>
        <v>0.3404990008509603</v>
      </c>
      <c r="V4" s="90">
        <f>T4</f>
        <v>0.3404990008509603</v>
      </c>
      <c r="W4" s="90">
        <f>((1+T4)*(1+W3))-1</f>
        <v>0.42092894090201805</v>
      </c>
      <c r="X4" s="90">
        <f>W4</f>
        <v>0.42092894090201805</v>
      </c>
      <c r="Y4" s="90">
        <f>W4</f>
        <v>0.42092894090201805</v>
      </c>
      <c r="Z4" s="90">
        <f>((1+W4)*(1+Z3))-1</f>
        <v>0.46355680912907871</v>
      </c>
      <c r="AA4" s="90">
        <f>Z4</f>
        <v>0.46355680912907871</v>
      </c>
      <c r="AB4" s="90">
        <f>Z4</f>
        <v>0.46355680912907871</v>
      </c>
      <c r="AC4" s="90">
        <f>((1+Z4)*(1+AC3))-1</f>
        <v>0.55137021767682359</v>
      </c>
      <c r="AD4" s="90">
        <f>AC4</f>
        <v>0.55137021767682359</v>
      </c>
      <c r="AE4" s="89">
        <f>AC4</f>
        <v>0.55137021767682359</v>
      </c>
    </row>
    <row r="5" spans="1:31" ht="7.5" customHeight="1" x14ac:dyDescent="0.25">
      <c r="A5" s="87"/>
      <c r="E5" s="85"/>
      <c r="F5" s="85"/>
      <c r="G5" s="85"/>
      <c r="H5" s="85"/>
      <c r="I5" s="85"/>
      <c r="J5" s="85"/>
      <c r="K5" s="85"/>
      <c r="L5" s="85"/>
      <c r="M5" s="85"/>
      <c r="N5" s="86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</row>
    <row r="6" spans="1:31" ht="15.75" thickBot="1" x14ac:dyDescent="0.3">
      <c r="A6" s="16" t="str">
        <f>Assumptions!$A$2</f>
        <v>Apartments</v>
      </c>
      <c r="B6" s="77"/>
      <c r="C6" s="76"/>
      <c r="D6" s="75"/>
      <c r="E6" s="74"/>
      <c r="F6" s="73"/>
      <c r="G6" s="72"/>
      <c r="H6" s="71"/>
      <c r="I6" s="70"/>
      <c r="N6" s="69"/>
    </row>
    <row r="7" spans="1:31" s="87" customFormat="1" outlineLevel="1" x14ac:dyDescent="0.25">
      <c r="A7" s="115" t="s">
        <v>63</v>
      </c>
      <c r="B7" s="116">
        <f>IF(Land_Growth_Term&gt;0,1)</f>
        <v>1</v>
      </c>
      <c r="C7" s="63">
        <f t="shared" ref="C7:K7" si="2">IF(Land_Growth_Term&gt;0,B7+1)</f>
        <v>2</v>
      </c>
      <c r="D7" s="63">
        <f t="shared" si="2"/>
        <v>3</v>
      </c>
      <c r="E7" s="63">
        <f t="shared" si="2"/>
        <v>4</v>
      </c>
      <c r="F7" s="63">
        <f t="shared" si="2"/>
        <v>5</v>
      </c>
      <c r="G7" s="63">
        <f t="shared" si="2"/>
        <v>6</v>
      </c>
      <c r="H7" s="63">
        <f t="shared" si="2"/>
        <v>7</v>
      </c>
      <c r="I7" s="63">
        <f t="shared" si="2"/>
        <v>8</v>
      </c>
      <c r="J7" s="63">
        <f t="shared" si="2"/>
        <v>9</v>
      </c>
      <c r="K7" s="63">
        <f t="shared" si="2"/>
        <v>10</v>
      </c>
      <c r="L7" s="63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7"/>
    </row>
    <row r="8" spans="1:31" s="87" customFormat="1" outlineLevel="1" x14ac:dyDescent="0.25">
      <c r="A8" s="42" t="s">
        <v>61</v>
      </c>
      <c r="B8" s="112">
        <f>IF(Assumptions!$B$3&gt;=B$2,0,IF(Assumptions!$B$3+1=B$2,1,IF(Assumptions!$B$3+15&gt;=B$2,A8+1,0)))</f>
        <v>0</v>
      </c>
      <c r="C8" s="112">
        <f>IF(Assumptions!$B$3&gt;=C$2,0,IF(Assumptions!$B$3+1=C$2,1,IF(Assumptions!$B$3+15&gt;=C$2,B8+1,0)))</f>
        <v>0</v>
      </c>
      <c r="D8" s="112">
        <f>IF(Assumptions!$B$3&gt;=D$2,0,IF(Assumptions!$B$3+1=D$2,1,IF(Assumptions!$B$3+15&gt;=D$2,C8+1,0)))</f>
        <v>1</v>
      </c>
      <c r="E8" s="112">
        <f>IF(Assumptions!$B$3&gt;=E$2,0,IF(Assumptions!$B$3+1=E$2,1,IF(Assumptions!$B$3+15&gt;=E$2,D8+1,0)))</f>
        <v>2</v>
      </c>
      <c r="F8" s="112">
        <f>IF(Assumptions!$B$3&gt;=F$2,0,IF(Assumptions!$B$3+1=F$2,1,IF(Assumptions!$B$3+15&gt;=F$2,E8+1,0)))</f>
        <v>3</v>
      </c>
      <c r="G8" s="112">
        <f>IF(Assumptions!$B$3&gt;=G$2,0,IF(Assumptions!$B$3+1=G$2,1,IF(Assumptions!$B$3+15&gt;=G$2,F8+1,0)))</f>
        <v>4</v>
      </c>
      <c r="H8" s="112">
        <f>IF(Assumptions!$B$3&gt;=H$2,0,IF(Assumptions!$B$3+1=H$2,1,IF(Assumptions!$B$3+15&gt;=H$2,G8+1,0)))</f>
        <v>5</v>
      </c>
      <c r="I8" s="112">
        <f>IF(Assumptions!$B$3&gt;=I$2,0,IF(Assumptions!$B$3+1=I$2,1,IF(Assumptions!$B$3+15&gt;=I$2,H8+1,0)))</f>
        <v>6</v>
      </c>
      <c r="J8" s="112">
        <f>IF(Assumptions!$B$3&gt;=J$2,0,IF(Assumptions!$B$3+1=J$2,1,IF(Assumptions!$B$3+15&gt;=J$2,I8+1,0)))</f>
        <v>7</v>
      </c>
      <c r="K8" s="112">
        <f>IF(Assumptions!$B$3&gt;=K$2,0,IF(Assumptions!$B$3+1=K$2,1,IF(Assumptions!$B$3+15&gt;=K$2,J8+1,0)))</f>
        <v>8</v>
      </c>
      <c r="L8" s="112">
        <f>IF(Assumptions!$B$3&gt;=L$2,0,IF(Assumptions!$B$3+1=L$2,1,IF(Assumptions!$B$3+15&gt;=L$2,K8+1,0)))</f>
        <v>9</v>
      </c>
      <c r="M8" s="112">
        <f>IF(Assumptions!$B$3&gt;=M$2,0,IF(Assumptions!$B$3+1=M$2,1,IF(Assumptions!$B$3+15&gt;=M$2,L8+1,0)))</f>
        <v>10</v>
      </c>
      <c r="N8" s="112">
        <f>IF(Assumptions!$B$3&gt;=N$2,0,IF(Assumptions!$B$3+1=N$2,1,IF(Assumptions!$B$3+15&gt;=N$2,M8+1,0)))</f>
        <v>11</v>
      </c>
      <c r="O8" s="112">
        <f>IF(Assumptions!$B$3&gt;=O$2,0,IF(Assumptions!$B$3+1=O$2,1,IF(Assumptions!$B$3+15&gt;=O$2,N8+1,0)))</f>
        <v>12</v>
      </c>
      <c r="P8" s="112">
        <f>IF(Assumptions!$B$3&gt;=P$2,0,IF(Assumptions!$B$3+1=P$2,1,IF(Assumptions!$B$3+15&gt;=P$2,O8+1,0)))</f>
        <v>13</v>
      </c>
      <c r="Q8" s="112">
        <f>IF(Assumptions!$B$3&gt;=Q$2,0,IF(Assumptions!$B$3+1=Q$2,1,IF(Assumptions!$B$3+15&gt;=Q$2,P8+1,0)))</f>
        <v>14</v>
      </c>
      <c r="R8" s="112">
        <f>IF(Assumptions!$B$3&gt;=R$2,0,IF(Assumptions!$B$3+1=R$2,1,IF(Assumptions!$B$3+15&gt;=R$2,Q8+1,0)))</f>
        <v>15</v>
      </c>
      <c r="S8" s="112">
        <f>IF(Assumptions!$B$3&gt;=S$2,0,IF(Assumptions!$B$3+1=S$2,1,IF(Assumptions!$B$3+15&gt;=S$2,R8+1,0)))</f>
        <v>0</v>
      </c>
      <c r="T8" s="112">
        <f>IF(Assumptions!$B$3&gt;=T$2,0,IF(Assumptions!$B$3+1=T$2,1,IF(Assumptions!$B$3+15&gt;=T$2,S8+1,0)))</f>
        <v>0</v>
      </c>
      <c r="U8" s="112">
        <f>IF(Assumptions!$B$3&gt;=U$2,0,IF(Assumptions!$B$3+1=U$2,1,IF(Assumptions!$B$3+15&gt;=U$2,T8+1,0)))</f>
        <v>0</v>
      </c>
      <c r="V8" s="112">
        <f>IF(Assumptions!$B$3&gt;=V$2,0,IF(Assumptions!$B$3+1=V$2,1,IF(Assumptions!$B$3+15&gt;=V$2,U8+1,0)))</f>
        <v>0</v>
      </c>
      <c r="W8" s="112">
        <f>IF(Assumptions!$B$3&gt;=W$2,0,IF(Assumptions!$B$3+1=W$2,1,IF(Assumptions!$B$3+15&gt;=W$2,V8+1,0)))</f>
        <v>0</v>
      </c>
      <c r="X8" s="112">
        <f>IF(Assumptions!$B$3&gt;=X$2,0,IF(Assumptions!$B$3+1=X$2,1,IF(Assumptions!$B$3+15&gt;=X$2,W8+1,0)))</f>
        <v>0</v>
      </c>
      <c r="Y8" s="112">
        <f>IF(Assumptions!$B$3&gt;=Y$2,0,IF(Assumptions!$B$3+1=Y$2,1,IF(Assumptions!$B$3+15&gt;=Y$2,X8+1,0)))</f>
        <v>0</v>
      </c>
      <c r="Z8" s="112">
        <f>IF(Assumptions!$B$3&gt;=Z$2,0,IF(Assumptions!$B$3+1=Z$2,1,IF(Assumptions!$B$3+15&gt;=Z$2,Y8+1,0)))</f>
        <v>0</v>
      </c>
      <c r="AA8" s="112">
        <f>IF(Assumptions!$B$3&gt;=AA$2,0,IF(Assumptions!$B$3+1=AA$2,1,IF(Assumptions!$B$3+15&gt;=AA$2,Z8+1,0)))</f>
        <v>0</v>
      </c>
      <c r="AB8" s="112">
        <f>IF(Assumptions!$B$3&gt;=AB$2,0,IF(Assumptions!$B$3+1=AB$2,1,IF(Assumptions!$B$3+15&gt;=AB$2,AA8+1,0)))</f>
        <v>0</v>
      </c>
      <c r="AC8" s="112">
        <f>IF(Assumptions!$B$3&gt;=AC$2,0,IF(Assumptions!$B$3+1=AC$2,1,IF(Assumptions!$B$3+15&gt;=AC$2,AB8+1,0)))</f>
        <v>0</v>
      </c>
      <c r="AD8" s="112">
        <f>IF(Assumptions!$B$3&gt;=AD$2,0,IF(Assumptions!$B$3+1=AD$2,1,IF(Assumptions!$B$3+15&gt;=AD$2,AC8+1,0)))</f>
        <v>0</v>
      </c>
      <c r="AE8" s="118">
        <f>IF(Assumptions!$B$3&gt;=AE$2,0,IF(Assumptions!$B$3+1=AE$2,1,IF(Assumptions!$B$3+15&gt;=AE$2,AD8+1,0)))</f>
        <v>0</v>
      </c>
    </row>
    <row r="9" spans="1:31" outlineLevel="1" x14ac:dyDescent="0.25">
      <c r="A9" s="59" t="s">
        <v>6</v>
      </c>
      <c r="B9" s="61">
        <f>Apartments_Base_Val</f>
        <v>869325.00000000012</v>
      </c>
      <c r="C9" s="61">
        <f>B9</f>
        <v>869325.00000000012</v>
      </c>
      <c r="D9" s="61">
        <f t="shared" ref="D9:AE9" si="3">C9</f>
        <v>869325.00000000012</v>
      </c>
      <c r="E9" s="61">
        <f t="shared" si="3"/>
        <v>869325.00000000012</v>
      </c>
      <c r="F9" s="61">
        <f t="shared" si="3"/>
        <v>869325.00000000012</v>
      </c>
      <c r="G9" s="61">
        <f t="shared" si="3"/>
        <v>869325.00000000012</v>
      </c>
      <c r="H9" s="61">
        <f t="shared" si="3"/>
        <v>869325.00000000012</v>
      </c>
      <c r="I9" s="61">
        <f t="shared" si="3"/>
        <v>869325.00000000012</v>
      </c>
      <c r="J9" s="61">
        <f t="shared" si="3"/>
        <v>869325.00000000012</v>
      </c>
      <c r="K9" s="61">
        <f t="shared" si="3"/>
        <v>869325.00000000012</v>
      </c>
      <c r="L9" s="61">
        <f t="shared" si="3"/>
        <v>869325.00000000012</v>
      </c>
      <c r="M9" s="61">
        <f t="shared" si="3"/>
        <v>869325.00000000012</v>
      </c>
      <c r="N9" s="61">
        <f t="shared" si="3"/>
        <v>869325.00000000012</v>
      </c>
      <c r="O9" s="61">
        <f t="shared" si="3"/>
        <v>869325.00000000012</v>
      </c>
      <c r="P9" s="61">
        <f t="shared" si="3"/>
        <v>869325.00000000012</v>
      </c>
      <c r="Q9" s="61">
        <f t="shared" si="3"/>
        <v>869325.00000000012</v>
      </c>
      <c r="R9" s="61">
        <f t="shared" si="3"/>
        <v>869325.00000000012</v>
      </c>
      <c r="S9" s="61">
        <f t="shared" si="3"/>
        <v>869325.00000000012</v>
      </c>
      <c r="T9" s="61">
        <f t="shared" si="3"/>
        <v>869325.00000000012</v>
      </c>
      <c r="U9" s="61">
        <f t="shared" si="3"/>
        <v>869325.00000000012</v>
      </c>
      <c r="V9" s="61">
        <f t="shared" si="3"/>
        <v>869325.00000000012</v>
      </c>
      <c r="W9" s="61">
        <f t="shared" si="3"/>
        <v>869325.00000000012</v>
      </c>
      <c r="X9" s="61">
        <f t="shared" si="3"/>
        <v>869325.00000000012</v>
      </c>
      <c r="Y9" s="61">
        <f t="shared" si="3"/>
        <v>869325.00000000012</v>
      </c>
      <c r="Z9" s="61">
        <f t="shared" si="3"/>
        <v>869325.00000000012</v>
      </c>
      <c r="AA9" s="61">
        <f t="shared" si="3"/>
        <v>869325.00000000012</v>
      </c>
      <c r="AB9" s="61">
        <f t="shared" si="3"/>
        <v>869325.00000000012</v>
      </c>
      <c r="AC9" s="61">
        <f t="shared" si="3"/>
        <v>869325.00000000012</v>
      </c>
      <c r="AD9" s="61">
        <f t="shared" si="3"/>
        <v>869325.00000000012</v>
      </c>
      <c r="AE9" s="60">
        <f t="shared" si="3"/>
        <v>869325.00000000012</v>
      </c>
    </row>
    <row r="10" spans="1:31" outlineLevel="1" x14ac:dyDescent="0.25">
      <c r="A10" s="59" t="s">
        <v>8</v>
      </c>
      <c r="B10" s="112">
        <f>IF(B$2&lt;=Assumptions!$B$3,0,IF(B$2=Assumptions!$B$3+1,Apartments_Land_Growth*(1+B$4),IF(B$2&gt;Assumptions!$B$3,A10*(1+B$3),0)))</f>
        <v>0</v>
      </c>
      <c r="C10" s="61">
        <f>IF(C$2&lt;=Assumptions!$B$3,0,IF(C$2=Assumptions!$B$3+1,Apartments_Land_Growth*(1+C$4),IF(C$2&gt;Assumptions!$B$3,B10*(1+C$3),0)))</f>
        <v>0</v>
      </c>
      <c r="D10" s="61">
        <f>IF(D$2&lt;=Assumptions!$B$3,0,IF(D$2=Assumptions!$B$3+1,Apartments_Land_Growth*(1+D$4),IF(D$2&gt;Assumptions!$B$3,C10*(1+D$3),0)))</f>
        <v>4672905.03</v>
      </c>
      <c r="E10" s="41">
        <f>IF(E$2&lt;=Assumptions!$B$3,0,IF(E$2=Assumptions!$B$3+1,Apartments_Land_Growth*(1+E$4),IF(E$2&gt;Assumptions!$B$3,D10*(1+E$3),0)))</f>
        <v>4953279.3318000007</v>
      </c>
      <c r="F10" s="41">
        <f>IF(F$2&lt;=Assumptions!$B$3,0,IF(F$2=Assumptions!$B$3+1,Apartments_Land_Growth*(1+F$4),IF(F$2&gt;Assumptions!$B$3,E10*(1+F$3),0)))</f>
        <v>4953279.3318000007</v>
      </c>
      <c r="G10" s="41">
        <f>IF(G$2&lt;=Assumptions!$B$3,0,IF(G$2=Assumptions!$B$3+1,Apartments_Land_Growth*(1+G$4),IF(G$2&gt;Assumptions!$B$3,F10*(1+G$3),0)))</f>
        <v>4953279.3318000007</v>
      </c>
      <c r="H10" s="41">
        <f>IF(H$2&lt;=Assumptions!$B$3,0,IF(H$2=Assumptions!$B$3+1,Apartments_Land_Growth*(1+H$4),IF(H$2&gt;Assumptions!$B$3,G10*(1+H$3),0)))</f>
        <v>5101877.7117540007</v>
      </c>
      <c r="I10" s="41">
        <f>IF(I$2&lt;=Assumptions!$B$3,0,IF(I$2=Assumptions!$B$3+1,Apartments_Land_Growth*(1+I$4),IF(I$2&gt;Assumptions!$B$3,H10*(1+I$3),0)))</f>
        <v>5101877.7117540007</v>
      </c>
      <c r="J10" s="41">
        <f>IF(J$2&lt;=Assumptions!$B$3,0,IF(J$2=Assumptions!$B$3+1,Apartments_Land_Growth*(1+J$4),IF(J$2&gt;Assumptions!$B$3,I10*(1+J$3),0)))</f>
        <v>5101877.7117540007</v>
      </c>
      <c r="K10" s="41">
        <f>IF(K$2&lt;=Assumptions!$B$3,0,IF(K$2=Assumptions!$B$3+1,Apartments_Land_Growth*(1+K$4),IF(K$2&gt;Assumptions!$B$3,J10*(1+K$3),0)))</f>
        <v>5407990.3744592415</v>
      </c>
      <c r="L10" s="41">
        <f>IF(L$2&lt;=Assumptions!$B$3,0,IF(L$2=Assumptions!$B$3+1,Apartments_Land_Growth*(1+L$4),IF(L$2&gt;Assumptions!$B$3,K10*(1+L$3),0)))</f>
        <v>5407990.3744592415</v>
      </c>
      <c r="M10" s="41">
        <f>IF(M$2&lt;=Assumptions!$B$3,0,IF(M$2=Assumptions!$B$3+1,Apartments_Land_Growth*(1+M$4),IF(M$2&gt;Assumptions!$B$3,L10*(1+M$3),0)))</f>
        <v>5407990.3744592415</v>
      </c>
      <c r="N10" s="41">
        <f>IF(N$2&lt;=Assumptions!$B$3,0,IF(N$2=Assumptions!$B$3+1,Apartments_Land_Growth*(1+N$4),IF(N$2&gt;Assumptions!$B$3,M10*(1+N$3),0)))</f>
        <v>5570230.0856930185</v>
      </c>
      <c r="O10" s="41">
        <f>IF(O$2&lt;=Assumptions!$B$3,0,IF(O$2=Assumptions!$B$3+1,Apartments_Land_Growth*(1+O$4),IF(O$2&gt;Assumptions!$B$3,N10*(1+O$3),0)))</f>
        <v>5570230.0856930185</v>
      </c>
      <c r="P10" s="41">
        <f>IF(P$2&lt;=Assumptions!$B$3,0,IF(P$2=Assumptions!$B$3+1,Apartments_Land_Growth*(1+P$4),IF(P$2&gt;Assumptions!$B$3,O10*(1+P$3),0)))</f>
        <v>5570230.0856930185</v>
      </c>
      <c r="Q10" s="41">
        <f>IF(Q$2&lt;=Assumptions!$B$3,0,IF(Q$2=Assumptions!$B$3+1,Apartments_Land_Growth*(1+Q$4),IF(Q$2&gt;Assumptions!$B$3,P10*(1+Q$3),0)))</f>
        <v>5904443.8908345997</v>
      </c>
      <c r="R10" s="41">
        <f>IF(R$2&lt;=Assumptions!$B$3,0,IF(R$2=Assumptions!$B$3+1,Apartments_Land_Growth*(1+R$4),IF(R$2&gt;Assumptions!$B$3,Q10*(1+R$3),0)))</f>
        <v>5904443.8908345997</v>
      </c>
      <c r="S10" s="41">
        <f>IF(S$2&lt;=Assumptions!$B$3,0,IF(S$2=Assumptions!$B$3+1,Apartments_Land_Growth*(1+S$4),IF(S$2&gt;Assumptions!$B$3,R10*(1+S$3),0)))</f>
        <v>5904443.8908345997</v>
      </c>
      <c r="T10" s="41">
        <f>IF(T$2&lt;=Assumptions!$B$3,0,IF(T$2=Assumptions!$B$3+1,Apartments_Land_Growth*(1+T$4),IF(T$2&gt;Assumptions!$B$3,S10*(1+T$3),0)))</f>
        <v>6081577.2075596377</v>
      </c>
      <c r="U10" s="41">
        <f>IF(U$2&lt;=Assumptions!$B$3,0,IF(U$2=Assumptions!$B$3+1,Apartments_Land_Growth*(1+U$4),IF(U$2&gt;Assumptions!$B$3,T10*(1+U$3),0)))</f>
        <v>6081577.2075596377</v>
      </c>
      <c r="V10" s="41">
        <f>IF(V$2&lt;=Assumptions!$B$3,0,IF(V$2=Assumptions!$B$3+1,Apartments_Land_Growth*(1+V$4),IF(V$2&gt;Assumptions!$B$3,U10*(1+V$3),0)))</f>
        <v>6081577.2075596377</v>
      </c>
      <c r="W10" s="41">
        <f>IF(W$2&lt;=Assumptions!$B$3,0,IF(W$2=Assumptions!$B$3+1,Apartments_Land_Growth*(1+W$4),IF(W$2&gt;Assumptions!$B$3,V10*(1+W$3),0)))</f>
        <v>6446471.8400132162</v>
      </c>
      <c r="X10" s="41">
        <f>IF(X$2&lt;=Assumptions!$B$3,0,IF(X$2=Assumptions!$B$3+1,Apartments_Land_Growth*(1+X$4),IF(X$2&gt;Assumptions!$B$3,W10*(1+X$3),0)))</f>
        <v>6446471.8400132162</v>
      </c>
      <c r="Y10" s="41">
        <f>IF(Y$2&lt;=Assumptions!$B$3,0,IF(Y$2=Assumptions!$B$3+1,Apartments_Land_Growth*(1+Y$4),IF(Y$2&gt;Assumptions!$B$3,X10*(1+Y$3),0)))</f>
        <v>6446471.8400132162</v>
      </c>
      <c r="Z10" s="41">
        <f>IF(Z$2&lt;=Assumptions!$B$3,0,IF(Z$2=Assumptions!$B$3+1,Apartments_Land_Growth*(1+Z$4),IF(Z$2&gt;Assumptions!$B$3,Y10*(1+Z$3),0)))</f>
        <v>6639865.9952136129</v>
      </c>
      <c r="AA10" s="41">
        <f>IF(AA$2&lt;=Assumptions!$B$3,0,IF(AA$2=Assumptions!$B$3+1,Apartments_Land_Growth*(1+AA$4),IF(AA$2&gt;Assumptions!$B$3,Z10*(1+AA$3),0)))</f>
        <v>6639865.9952136129</v>
      </c>
      <c r="AB10" s="41">
        <f>IF(AB$2&lt;=Assumptions!$B$3,0,IF(AB$2=Assumptions!$B$3+1,Apartments_Land_Growth*(1+AB$4),IF(AB$2&gt;Assumptions!$B$3,AA10*(1+AB$3),0)))</f>
        <v>6639865.9952136129</v>
      </c>
      <c r="AC10" s="41">
        <f>IF(AC$2&lt;=Assumptions!$B$3,0,IF(AC$2=Assumptions!$B$3+1,Apartments_Land_Growth*(1+AC$4),IF(AC$2&gt;Assumptions!$B$3,AB10*(1+AC$3),0)))</f>
        <v>7038257.9549264302</v>
      </c>
      <c r="AD10" s="41">
        <f>IF(AD$2&lt;=Assumptions!$B$3,0,IF(AD$2=Assumptions!$B$3+1,Apartments_Land_Growth*(1+AD$4),IF(AD$2&gt;Assumptions!$B$3,AC10*(1+AD$3),0)))</f>
        <v>7038257.9549264302</v>
      </c>
      <c r="AE10" s="40">
        <f>IF(AE$2&lt;=Assumptions!$B$3,0,IF(AE$2=Assumptions!$B$3+1,Apartments_Land_Growth*(1+AE$4),IF(AE$2&gt;Assumptions!$B$3,AD10*(1+AE$3),0)))</f>
        <v>7038257.9549264302</v>
      </c>
    </row>
    <row r="11" spans="1:31" ht="15.75" outlineLevel="1" thickBot="1" x14ac:dyDescent="0.3">
      <c r="A11" s="84" t="s">
        <v>9</v>
      </c>
      <c r="B11" s="113">
        <f>IF(B$2&lt;=Assumptions!$B$3,0,IF(B$2=Assumptions!$B$3+1,Apartments_Impvt_Val*(1+B$4),IF(B$2&gt;Assumptions!$B$3,A11*(1+B$3),0)))</f>
        <v>0</v>
      </c>
      <c r="C11" s="113">
        <f>IF(C$2&lt;=Assumptions!$B$3,0,IF(C$2=Assumptions!$B$3+1,Apartments_Impvt_Val*(1+C$4),IF(C$2&gt;Assumptions!$B$3,B11*(1+C$3),0)))</f>
        <v>0</v>
      </c>
      <c r="D11" s="113">
        <f>IF(D$2&lt;=Assumptions!$B$3,0,IF(D$2=Assumptions!$B$3+1,Apartments_Impvt_Val*(1+D$4),IF(D$2&gt;Assumptions!$B$3,C11*(1+D$3),0)))</f>
        <v>34267970.219999999</v>
      </c>
      <c r="E11" s="83">
        <f>IF(E$2&lt;=Assumptions!$B$3,0,IF(E$2=Assumptions!$B$3+1,Apartments_Impvt_Val*(1+E$4),IF(E$2&gt;Assumptions!$B$3,D11*(1+E$3),0)))</f>
        <v>36324048.433200002</v>
      </c>
      <c r="F11" s="83">
        <f>IF(F$2&lt;=Assumptions!$B$3,0,IF(F$2=Assumptions!$B$3+1,Apartments_Impvt_Val*(1+F$4),IF(F$2&gt;Assumptions!$B$3,E11*(1+F$3),0)))</f>
        <v>36324048.433200002</v>
      </c>
      <c r="G11" s="83">
        <f>IF(G$2&lt;=Assumptions!$B$3,0,IF(G$2=Assumptions!$B$3+1,Apartments_Impvt_Val*(1+G$4),IF(G$2&gt;Assumptions!$B$3,F11*(1+G$3),0)))</f>
        <v>36324048.433200002</v>
      </c>
      <c r="H11" s="83">
        <f>IF(H$2&lt;=Assumptions!$B$3,0,IF(H$2=Assumptions!$B$3+1,Apartments_Impvt_Val*(1+H$4),IF(H$2&gt;Assumptions!$B$3,G11*(1+H$3),0)))</f>
        <v>37413769.886196002</v>
      </c>
      <c r="I11" s="83">
        <f>IF(I$2&lt;=Assumptions!$B$3,0,IF(I$2=Assumptions!$B$3+1,Apartments_Impvt_Val*(1+I$4),IF(I$2&gt;Assumptions!$B$3,H11*(1+I$3),0)))</f>
        <v>37413769.886196002</v>
      </c>
      <c r="J11" s="83">
        <f>IF(J$2&lt;=Assumptions!$B$3,0,IF(J$2=Assumptions!$B$3+1,Apartments_Impvt_Val*(1+J$4),IF(J$2&gt;Assumptions!$B$3,I11*(1+J$3),0)))</f>
        <v>37413769.886196002</v>
      </c>
      <c r="K11" s="83">
        <f>IF(K$2&lt;=Assumptions!$B$3,0,IF(K$2=Assumptions!$B$3+1,Apartments_Impvt_Val*(1+K$4),IF(K$2&gt;Assumptions!$B$3,J11*(1+K$3),0)))</f>
        <v>39658596.079367764</v>
      </c>
      <c r="L11" s="83">
        <f>IF(L$2&lt;=Assumptions!$B$3,0,IF(L$2=Assumptions!$B$3+1,Apartments_Impvt_Val*(1+L$4),IF(L$2&gt;Assumptions!$B$3,K11*(1+L$3),0)))</f>
        <v>39658596.079367764</v>
      </c>
      <c r="M11" s="83">
        <f>IF(M$2&lt;=Assumptions!$B$3,0,IF(M$2=Assumptions!$B$3+1,Apartments_Impvt_Val*(1+M$4),IF(M$2&gt;Assumptions!$B$3,L11*(1+M$3),0)))</f>
        <v>39658596.079367764</v>
      </c>
      <c r="N11" s="83">
        <f>IF(N$2&lt;=Assumptions!$B$3,0,IF(N$2=Assumptions!$B$3+1,Apartments_Impvt_Val*(1+N$4),IF(N$2&gt;Assumptions!$B$3,M11*(1+N$3),0)))</f>
        <v>40848353.961748801</v>
      </c>
      <c r="O11" s="83">
        <f>IF(O$2&lt;=Assumptions!$B$3,0,IF(O$2=Assumptions!$B$3+1,Apartments_Impvt_Val*(1+O$4),IF(O$2&gt;Assumptions!$B$3,N11*(1+O$3),0)))</f>
        <v>40848353.961748801</v>
      </c>
      <c r="P11" s="83">
        <f>IF(P$2&lt;=Assumptions!$B$3,0,IF(P$2=Assumptions!$B$3+1,Apartments_Impvt_Val*(1+P$4),IF(P$2&gt;Assumptions!$B$3,O11*(1+P$3),0)))</f>
        <v>40848353.961748801</v>
      </c>
      <c r="Q11" s="83">
        <f>IF(Q$2&lt;=Assumptions!$B$3,0,IF(Q$2=Assumptions!$B$3+1,Apartments_Impvt_Val*(1+Q$4),IF(Q$2&gt;Assumptions!$B$3,P11*(1+Q$3),0)))</f>
        <v>43299255.199453734</v>
      </c>
      <c r="R11" s="83">
        <f>IF(R$2&lt;=Assumptions!$B$3,0,IF(R$2=Assumptions!$B$3+1,Apartments_Impvt_Val*(1+R$4),IF(R$2&gt;Assumptions!$B$3,Q11*(1+R$3),0)))</f>
        <v>43299255.199453734</v>
      </c>
      <c r="S11" s="83">
        <f>IF(S$2&lt;=Assumptions!$B$3,0,IF(S$2=Assumptions!$B$3+1,Apartments_Impvt_Val*(1+S$4),IF(S$2&gt;Assumptions!$B$3,R11*(1+S$3),0)))</f>
        <v>43299255.199453734</v>
      </c>
      <c r="T11" s="83">
        <f>IF(T$2&lt;=Assumptions!$B$3,0,IF(T$2=Assumptions!$B$3+1,Apartments_Impvt_Val*(1+T$4),IF(T$2&gt;Assumptions!$B$3,S11*(1+T$3),0)))</f>
        <v>44598232.855437346</v>
      </c>
      <c r="U11" s="83">
        <f>IF(U$2&lt;=Assumptions!$B$3,0,IF(U$2=Assumptions!$B$3+1,Apartments_Impvt_Val*(1+U$4),IF(U$2&gt;Assumptions!$B$3,T11*(1+U$3),0)))</f>
        <v>44598232.855437346</v>
      </c>
      <c r="V11" s="83">
        <f>IF(V$2&lt;=Assumptions!$B$3,0,IF(V$2=Assumptions!$B$3+1,Apartments_Impvt_Val*(1+V$4),IF(V$2&gt;Assumptions!$B$3,U11*(1+V$3),0)))</f>
        <v>44598232.855437346</v>
      </c>
      <c r="W11" s="83">
        <f>IF(W$2&lt;=Assumptions!$B$3,0,IF(W$2=Assumptions!$B$3+1,Apartments_Impvt_Val*(1+W$4),IF(W$2&gt;Assumptions!$B$3,V11*(1+W$3),0)))</f>
        <v>47274126.826763585</v>
      </c>
      <c r="X11" s="83">
        <f>IF(X$2&lt;=Assumptions!$B$3,0,IF(X$2=Assumptions!$B$3+1,Apartments_Impvt_Val*(1+X$4),IF(X$2&gt;Assumptions!$B$3,W11*(1+X$3),0)))</f>
        <v>47274126.826763585</v>
      </c>
      <c r="Y11" s="83">
        <f>IF(Y$2&lt;=Assumptions!$B$3,0,IF(Y$2=Assumptions!$B$3+1,Apartments_Impvt_Val*(1+Y$4),IF(Y$2&gt;Assumptions!$B$3,X11*(1+Y$3),0)))</f>
        <v>47274126.826763585</v>
      </c>
      <c r="Z11" s="83">
        <f>IF(Z$2&lt;=Assumptions!$B$3,0,IF(Z$2=Assumptions!$B$3+1,Apartments_Impvt_Val*(1+Z$4),IF(Z$2&gt;Assumptions!$B$3,Y11*(1+Z$3),0)))</f>
        <v>48692350.631566495</v>
      </c>
      <c r="AA11" s="83">
        <f>IF(AA$2&lt;=Assumptions!$B$3,0,IF(AA$2=Assumptions!$B$3+1,Apartments_Impvt_Val*(1+AA$4),IF(AA$2&gt;Assumptions!$B$3,Z11*(1+AA$3),0)))</f>
        <v>48692350.631566495</v>
      </c>
      <c r="AB11" s="83">
        <f>IF(AB$2&lt;=Assumptions!$B$3,0,IF(AB$2=Assumptions!$B$3+1,Apartments_Impvt_Val*(1+AB$4),IF(AB$2&gt;Assumptions!$B$3,AA11*(1+AB$3),0)))</f>
        <v>48692350.631566495</v>
      </c>
      <c r="AC11" s="83">
        <f>IF(AC$2&lt;=Assumptions!$B$3,0,IF(AC$2=Assumptions!$B$3+1,Apartments_Impvt_Val*(1+AC$4),IF(AC$2&gt;Assumptions!$B$3,AB11*(1+AC$3),0)))</f>
        <v>51613891.66946049</v>
      </c>
      <c r="AD11" s="83">
        <f>IF(AD$2&lt;=Assumptions!$B$3,0,IF(AD$2=Assumptions!$B$3+1,Apartments_Impvt_Val*(1+AD$4),IF(AD$2&gt;Assumptions!$B$3,AC11*(1+AD$3),0)))</f>
        <v>51613891.66946049</v>
      </c>
      <c r="AE11" s="82">
        <f>IF(AE$2&lt;=Assumptions!$B$3,0,IF(AE$2=Assumptions!$B$3+1,Apartments_Impvt_Val*(1+AE$4),IF(AE$2&gt;Assumptions!$B$3,AD11*(1+AE$3),0)))</f>
        <v>51613891.66946049</v>
      </c>
    </row>
    <row r="12" spans="1:31" outlineLevel="1" x14ac:dyDescent="0.25">
      <c r="A12" s="56" t="s">
        <v>60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4"/>
    </row>
    <row r="13" spans="1:31" outlineLevel="1" x14ac:dyDescent="0.25">
      <c r="A13" s="53" t="s">
        <v>59</v>
      </c>
      <c r="B13" s="52">
        <f t="shared" ref="B13:AE13" si="4">SUM(B9:B11)</f>
        <v>869325.00000000012</v>
      </c>
      <c r="C13" s="52">
        <f t="shared" si="4"/>
        <v>869325.00000000012</v>
      </c>
      <c r="D13" s="52">
        <f t="shared" si="4"/>
        <v>39810200.25</v>
      </c>
      <c r="E13" s="52">
        <f t="shared" si="4"/>
        <v>42146652.765000001</v>
      </c>
      <c r="F13" s="52">
        <f t="shared" si="4"/>
        <v>42146652.765000001</v>
      </c>
      <c r="G13" s="52">
        <f t="shared" si="4"/>
        <v>42146652.765000001</v>
      </c>
      <c r="H13" s="52">
        <f t="shared" si="4"/>
        <v>43384972.597950004</v>
      </c>
      <c r="I13" s="52">
        <f t="shared" si="4"/>
        <v>43384972.597950004</v>
      </c>
      <c r="J13" s="52">
        <f t="shared" si="4"/>
        <v>43384972.597950004</v>
      </c>
      <c r="K13" s="52">
        <f t="shared" si="4"/>
        <v>45935911.453827009</v>
      </c>
      <c r="L13" s="52">
        <f t="shared" si="4"/>
        <v>45935911.453827009</v>
      </c>
      <c r="M13" s="52">
        <f t="shared" si="4"/>
        <v>45935911.453827009</v>
      </c>
      <c r="N13" s="52">
        <f t="shared" si="4"/>
        <v>47287909.047441818</v>
      </c>
      <c r="O13" s="52">
        <f t="shared" si="4"/>
        <v>47287909.047441818</v>
      </c>
      <c r="P13" s="52">
        <f t="shared" si="4"/>
        <v>47287909.047441818</v>
      </c>
      <c r="Q13" s="52">
        <f t="shared" si="4"/>
        <v>50073024.090288334</v>
      </c>
      <c r="R13" s="52">
        <f t="shared" si="4"/>
        <v>50073024.090288334</v>
      </c>
      <c r="S13" s="52">
        <f t="shared" si="4"/>
        <v>50073024.090288334</v>
      </c>
      <c r="T13" s="52">
        <f t="shared" si="4"/>
        <v>51549135.062996984</v>
      </c>
      <c r="U13" s="52">
        <f t="shared" si="4"/>
        <v>51549135.062996984</v>
      </c>
      <c r="V13" s="52">
        <f t="shared" si="4"/>
        <v>51549135.062996984</v>
      </c>
      <c r="W13" s="52">
        <f t="shared" si="4"/>
        <v>54589923.666776799</v>
      </c>
      <c r="X13" s="52">
        <f t="shared" si="4"/>
        <v>54589923.666776799</v>
      </c>
      <c r="Y13" s="52">
        <f t="shared" si="4"/>
        <v>54589923.666776799</v>
      </c>
      <c r="Z13" s="52">
        <f t="shared" si="4"/>
        <v>56201541.626780108</v>
      </c>
      <c r="AA13" s="52">
        <f t="shared" si="4"/>
        <v>56201541.626780108</v>
      </c>
      <c r="AB13" s="52">
        <f t="shared" si="4"/>
        <v>56201541.626780108</v>
      </c>
      <c r="AC13" s="52">
        <f t="shared" si="4"/>
        <v>59521474.624386922</v>
      </c>
      <c r="AD13" s="52">
        <f t="shared" si="4"/>
        <v>59521474.624386922</v>
      </c>
      <c r="AE13" s="51">
        <f t="shared" si="4"/>
        <v>59521474.624386922</v>
      </c>
    </row>
    <row r="14" spans="1:31" ht="15.75" outlineLevel="1" thickBot="1" x14ac:dyDescent="0.3">
      <c r="A14" s="50" t="s">
        <v>58</v>
      </c>
      <c r="B14" s="49">
        <f t="shared" ref="B14:AE14" si="5">B13*0.35*Full_Comm_Rate_A</f>
        <v>27485.819509443751</v>
      </c>
      <c r="C14" s="49">
        <f t="shared" si="5"/>
        <v>27485.819509443751</v>
      </c>
      <c r="D14" s="49">
        <f t="shared" si="5"/>
        <v>1258696.0903072066</v>
      </c>
      <c r="E14" s="49">
        <f t="shared" si="5"/>
        <v>1332568.7065550725</v>
      </c>
      <c r="F14" s="49">
        <f t="shared" si="5"/>
        <v>1332568.7065550725</v>
      </c>
      <c r="G14" s="49">
        <f t="shared" si="5"/>
        <v>1332568.7065550725</v>
      </c>
      <c r="H14" s="49">
        <f t="shared" si="5"/>
        <v>1371721.1931664413</v>
      </c>
      <c r="I14" s="49">
        <f t="shared" si="5"/>
        <v>1371721.1931664413</v>
      </c>
      <c r="J14" s="49">
        <f t="shared" si="5"/>
        <v>1371721.1931664413</v>
      </c>
      <c r="K14" s="49">
        <f t="shared" si="5"/>
        <v>1452375.3155858614</v>
      </c>
      <c r="L14" s="49">
        <f t="shared" si="5"/>
        <v>1452375.3155858614</v>
      </c>
      <c r="M14" s="49">
        <f t="shared" si="5"/>
        <v>1452375.3155858614</v>
      </c>
      <c r="N14" s="49">
        <f t="shared" si="5"/>
        <v>1495122.0004681537</v>
      </c>
      <c r="O14" s="49">
        <f t="shared" si="5"/>
        <v>1495122.0004681537</v>
      </c>
      <c r="P14" s="49">
        <f t="shared" si="5"/>
        <v>1495122.0004681537</v>
      </c>
      <c r="Q14" s="49">
        <f t="shared" si="5"/>
        <v>1583180.1713256768</v>
      </c>
      <c r="R14" s="49">
        <f t="shared" si="5"/>
        <v>1583180.1713256768</v>
      </c>
      <c r="S14" s="49">
        <f t="shared" si="5"/>
        <v>1583180.1713256768</v>
      </c>
      <c r="T14" s="49">
        <f t="shared" si="5"/>
        <v>1629851.0018801636</v>
      </c>
      <c r="U14" s="49">
        <f t="shared" si="5"/>
        <v>1629851.0018801636</v>
      </c>
      <c r="V14" s="49">
        <f t="shared" si="5"/>
        <v>1629851.0018801636</v>
      </c>
      <c r="W14" s="49">
        <f t="shared" si="5"/>
        <v>1725992.9128224065</v>
      </c>
      <c r="X14" s="49">
        <f t="shared" si="5"/>
        <v>1725992.9128224065</v>
      </c>
      <c r="Y14" s="49">
        <f t="shared" si="5"/>
        <v>1725992.9128224065</v>
      </c>
      <c r="Z14" s="49">
        <f t="shared" si="5"/>
        <v>1776948.1256217959</v>
      </c>
      <c r="AA14" s="49">
        <f t="shared" si="5"/>
        <v>1776948.1256217959</v>
      </c>
      <c r="AB14" s="49">
        <f t="shared" si="5"/>
        <v>1776948.1256217959</v>
      </c>
      <c r="AC14" s="49">
        <f t="shared" si="5"/>
        <v>1881915.8639885371</v>
      </c>
      <c r="AD14" s="49">
        <f t="shared" si="5"/>
        <v>1881915.8639885371</v>
      </c>
      <c r="AE14" s="48">
        <f t="shared" si="5"/>
        <v>1881915.8639885371</v>
      </c>
    </row>
    <row r="15" spans="1:31" outlineLevel="1" x14ac:dyDescent="0.25">
      <c r="A15" s="47" t="s">
        <v>57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5"/>
    </row>
    <row r="16" spans="1:31" outlineLevel="1" x14ac:dyDescent="0.25">
      <c r="A16" s="81" t="s">
        <v>56</v>
      </c>
      <c r="B16" s="46">
        <f t="shared" ref="B16:AE16" si="6">IF(AND(B7=0,B8=0),(B9*0.35*School_Comm_Rate_A)+(B10*0.35*School_Comm_Rate_A)+(B11*0.35*School_Comm_Rate_A),IF(AND(B7=0,B8&gt;0),(B9*0.35*School_Comm_Rate_A)+(B10*0.35*School_Comm_Rate_A)+(B11*Apartments_Non_abated*0.35*School_Comm_Rate_A),IF(AND(B7&gt;0,B8=0),(B9*0.35*School_Comm_Rate_A)+(B10*Land_Growth_Non_abated*0.35*School_Comm_Rate_A)+(B11*0.35*School_Comm_Rate_A),IF(AND(B7&gt;0,B8&gt;0),(B9*0.35*School_Comm_Rate_A)+(B10*Land_Growth_Non_abated*0.35*School_Comm_Rate_A)+(B11*Apartments_Non_abated*0.35*School_Comm_Rate_A),0))))</f>
        <v>20274.104426677499</v>
      </c>
      <c r="C16" s="46">
        <f t="shared" si="6"/>
        <v>20274.104426677499</v>
      </c>
      <c r="D16" s="46">
        <f t="shared" si="6"/>
        <v>20274.104426677499</v>
      </c>
      <c r="E16" s="46">
        <f t="shared" si="6"/>
        <v>20274.104426677499</v>
      </c>
      <c r="F16" s="46">
        <f t="shared" si="6"/>
        <v>20274.104426677499</v>
      </c>
      <c r="G16" s="46">
        <f t="shared" si="6"/>
        <v>20274.104426677499</v>
      </c>
      <c r="H16" s="46">
        <f t="shared" si="6"/>
        <v>20274.104426677499</v>
      </c>
      <c r="I16" s="46">
        <f t="shared" si="6"/>
        <v>20274.104426677499</v>
      </c>
      <c r="J16" s="46">
        <f t="shared" si="6"/>
        <v>20274.104426677499</v>
      </c>
      <c r="K16" s="46">
        <f t="shared" si="6"/>
        <v>20274.104426677499</v>
      </c>
      <c r="L16" s="46">
        <f t="shared" si="6"/>
        <v>146397.43182466261</v>
      </c>
      <c r="M16" s="46">
        <f t="shared" si="6"/>
        <v>146397.43182466261</v>
      </c>
      <c r="N16" s="46">
        <f t="shared" si="6"/>
        <v>150181.13164660215</v>
      </c>
      <c r="O16" s="46">
        <f t="shared" si="6"/>
        <v>150181.13164660215</v>
      </c>
      <c r="P16" s="46">
        <f t="shared" si="6"/>
        <v>150181.13164660215</v>
      </c>
      <c r="Q16" s="46">
        <f t="shared" si="6"/>
        <v>157975.5532797976</v>
      </c>
      <c r="R16" s="46">
        <f t="shared" si="6"/>
        <v>157975.5532797976</v>
      </c>
      <c r="S16" s="46">
        <f t="shared" si="6"/>
        <v>1167786.1782026787</v>
      </c>
      <c r="T16" s="46">
        <f t="shared" si="6"/>
        <v>1202211.540415959</v>
      </c>
      <c r="U16" s="46">
        <f t="shared" si="6"/>
        <v>1202211.540415959</v>
      </c>
      <c r="V16" s="46">
        <f t="shared" si="6"/>
        <v>1202211.540415959</v>
      </c>
      <c r="W16" s="46">
        <f t="shared" si="6"/>
        <v>1273127.7865753155</v>
      </c>
      <c r="X16" s="46">
        <f t="shared" si="6"/>
        <v>1273127.7865753155</v>
      </c>
      <c r="Y16" s="46">
        <f t="shared" si="6"/>
        <v>1273127.7865753155</v>
      </c>
      <c r="Z16" s="46">
        <f t="shared" si="6"/>
        <v>1310713.3970397748</v>
      </c>
      <c r="AA16" s="46">
        <f t="shared" si="6"/>
        <v>1310713.3970397748</v>
      </c>
      <c r="AB16" s="46">
        <f t="shared" si="6"/>
        <v>1310713.3970397748</v>
      </c>
      <c r="AC16" s="46">
        <f t="shared" si="6"/>
        <v>1388139.7545965607</v>
      </c>
      <c r="AD16" s="46">
        <f t="shared" si="6"/>
        <v>1388139.7545965607</v>
      </c>
      <c r="AE16" s="45">
        <f t="shared" si="6"/>
        <v>1388139.7545965607</v>
      </c>
    </row>
    <row r="17" spans="1:31" outlineLevel="1" x14ac:dyDescent="0.25">
      <c r="A17" s="43" t="s">
        <v>55</v>
      </c>
      <c r="B17" s="41">
        <f t="shared" ref="B17:AE17" si="7">(B9*0.35*Non_School_Comm_Rate_A)</f>
        <v>7211.7150827662508</v>
      </c>
      <c r="C17" s="41">
        <f t="shared" si="7"/>
        <v>7211.7150827662508</v>
      </c>
      <c r="D17" s="41">
        <f t="shared" si="7"/>
        <v>7211.7150827662508</v>
      </c>
      <c r="E17" s="41">
        <f t="shared" si="7"/>
        <v>7211.7150827662508</v>
      </c>
      <c r="F17" s="41">
        <f t="shared" si="7"/>
        <v>7211.7150827662508</v>
      </c>
      <c r="G17" s="41">
        <f t="shared" si="7"/>
        <v>7211.7150827662508</v>
      </c>
      <c r="H17" s="41">
        <f t="shared" si="7"/>
        <v>7211.7150827662508</v>
      </c>
      <c r="I17" s="41">
        <f t="shared" si="7"/>
        <v>7211.7150827662508</v>
      </c>
      <c r="J17" s="41">
        <f t="shared" si="7"/>
        <v>7211.7150827662508</v>
      </c>
      <c r="K17" s="41">
        <f t="shared" si="7"/>
        <v>7211.7150827662508</v>
      </c>
      <c r="L17" s="41">
        <f t="shared" si="7"/>
        <v>7211.7150827662508</v>
      </c>
      <c r="M17" s="41">
        <f t="shared" si="7"/>
        <v>7211.7150827662508</v>
      </c>
      <c r="N17" s="41">
        <f t="shared" si="7"/>
        <v>7211.7150827662508</v>
      </c>
      <c r="O17" s="41">
        <f t="shared" si="7"/>
        <v>7211.7150827662508</v>
      </c>
      <c r="P17" s="41">
        <f t="shared" si="7"/>
        <v>7211.7150827662508</v>
      </c>
      <c r="Q17" s="41">
        <f t="shared" si="7"/>
        <v>7211.7150827662508</v>
      </c>
      <c r="R17" s="41">
        <f t="shared" si="7"/>
        <v>7211.7150827662508</v>
      </c>
      <c r="S17" s="41">
        <f t="shared" si="7"/>
        <v>7211.7150827662508</v>
      </c>
      <c r="T17" s="41">
        <f t="shared" si="7"/>
        <v>7211.7150827662508</v>
      </c>
      <c r="U17" s="41">
        <f t="shared" si="7"/>
        <v>7211.7150827662508</v>
      </c>
      <c r="V17" s="41">
        <f t="shared" si="7"/>
        <v>7211.7150827662508</v>
      </c>
      <c r="W17" s="41">
        <f t="shared" si="7"/>
        <v>7211.7150827662508</v>
      </c>
      <c r="X17" s="41">
        <f t="shared" si="7"/>
        <v>7211.7150827662508</v>
      </c>
      <c r="Y17" s="41">
        <f t="shared" si="7"/>
        <v>7211.7150827662508</v>
      </c>
      <c r="Z17" s="41">
        <f t="shared" si="7"/>
        <v>7211.7150827662508</v>
      </c>
      <c r="AA17" s="41">
        <f t="shared" si="7"/>
        <v>7211.7150827662508</v>
      </c>
      <c r="AB17" s="41">
        <f t="shared" si="7"/>
        <v>7211.7150827662508</v>
      </c>
      <c r="AC17" s="41">
        <f t="shared" si="7"/>
        <v>7211.7150827662508</v>
      </c>
      <c r="AD17" s="41">
        <f t="shared" si="7"/>
        <v>7211.7150827662508</v>
      </c>
      <c r="AE17" s="40">
        <f t="shared" si="7"/>
        <v>7211.7150827662508</v>
      </c>
    </row>
    <row r="18" spans="1:31" outlineLevel="1" x14ac:dyDescent="0.25">
      <c r="A18" s="43" t="s">
        <v>54</v>
      </c>
      <c r="B18" s="114">
        <f t="shared" ref="B18:AE18" si="8">IF(AND(B7=0,B8=0),(B10*0.35*Non_School_Comm_Rate_A)+(B11*0.35*Non_School_Comm_Rate_A),IF(AND(B7=0,B8&gt;0),(B10*0.35*Non_School_Comm_Rate_A)+(B11*Apartments_Non_abated*0.35*Non_School_Comm_Rate_A),IF(AND(B7&gt;0,B8=0),(B10*Land_Growth_Non_abated*0.35*Non_School_Comm_Rate_A)+(B11*Apartments_Non_abated*0.35*Non_School_Comm_Rate_A),IF(AND(B7&gt;0,B8&gt;0),(B10*Land_Growth_Non_abated*0.35*Non_School_Comm_Rate_A)+(B11*Apartments_Non_abated*0.35*Non_School_Comm_Rate_A),0))))</f>
        <v>0</v>
      </c>
      <c r="C18" s="41">
        <f t="shared" si="8"/>
        <v>0</v>
      </c>
      <c r="D18" s="41">
        <f t="shared" si="8"/>
        <v>0</v>
      </c>
      <c r="E18" s="41">
        <f t="shared" si="8"/>
        <v>0</v>
      </c>
      <c r="F18" s="41">
        <f t="shared" si="8"/>
        <v>0</v>
      </c>
      <c r="G18" s="41">
        <f t="shared" si="8"/>
        <v>0</v>
      </c>
      <c r="H18" s="41">
        <f t="shared" si="8"/>
        <v>0</v>
      </c>
      <c r="I18" s="41">
        <f t="shared" si="8"/>
        <v>0</v>
      </c>
      <c r="J18" s="41">
        <f t="shared" si="8"/>
        <v>0</v>
      </c>
      <c r="K18" s="41">
        <f t="shared" si="8"/>
        <v>0</v>
      </c>
      <c r="L18" s="41">
        <f t="shared" si="8"/>
        <v>44863.41213118501</v>
      </c>
      <c r="M18" s="41">
        <f t="shared" si="8"/>
        <v>44863.41213118501</v>
      </c>
      <c r="N18" s="41">
        <f t="shared" si="8"/>
        <v>46209.314495120561</v>
      </c>
      <c r="O18" s="41">
        <f t="shared" si="8"/>
        <v>46209.314495120561</v>
      </c>
      <c r="P18" s="41">
        <f t="shared" si="8"/>
        <v>46209.314495120561</v>
      </c>
      <c r="Q18" s="41">
        <f t="shared" si="8"/>
        <v>48981.873364827792</v>
      </c>
      <c r="R18" s="41">
        <f t="shared" si="8"/>
        <v>48981.873364827792</v>
      </c>
      <c r="S18" s="41">
        <f t="shared" si="8"/>
        <v>408182.27804023161</v>
      </c>
      <c r="T18" s="41">
        <f t="shared" si="8"/>
        <v>420427.74638143863</v>
      </c>
      <c r="U18" s="41">
        <f t="shared" si="8"/>
        <v>420427.74638143863</v>
      </c>
      <c r="V18" s="41">
        <f t="shared" si="8"/>
        <v>420427.74638143863</v>
      </c>
      <c r="W18" s="41">
        <f t="shared" si="8"/>
        <v>445653.41116432491</v>
      </c>
      <c r="X18" s="41">
        <f t="shared" si="8"/>
        <v>445653.41116432491</v>
      </c>
      <c r="Y18" s="41">
        <f t="shared" si="8"/>
        <v>445653.41116432491</v>
      </c>
      <c r="Z18" s="41">
        <f t="shared" si="8"/>
        <v>459023.01349925471</v>
      </c>
      <c r="AA18" s="41">
        <f t="shared" si="8"/>
        <v>459023.01349925471</v>
      </c>
      <c r="AB18" s="41">
        <f t="shared" si="8"/>
        <v>459023.01349925471</v>
      </c>
      <c r="AC18" s="41">
        <f t="shared" si="8"/>
        <v>486564.39430921001</v>
      </c>
      <c r="AD18" s="41">
        <f t="shared" si="8"/>
        <v>486564.39430921001</v>
      </c>
      <c r="AE18" s="40">
        <f t="shared" si="8"/>
        <v>486564.39430921001</v>
      </c>
    </row>
    <row r="19" spans="1:31" outlineLevel="1" x14ac:dyDescent="0.25">
      <c r="A19" s="43" t="s">
        <v>53</v>
      </c>
      <c r="B19" s="41">
        <f t="shared" ref="B19:AE19" si="9">IF(B7&gt;0,B10*0.35*Land_Growth_CDC*Full_Comm_Rate_A,0)</f>
        <v>0</v>
      </c>
      <c r="C19" s="41">
        <f t="shared" si="9"/>
        <v>0</v>
      </c>
      <c r="D19" s="41">
        <f t="shared" si="9"/>
        <v>73872.616247865779</v>
      </c>
      <c r="E19" s="41">
        <f t="shared" si="9"/>
        <v>78304.973222737724</v>
      </c>
      <c r="F19" s="41">
        <f t="shared" si="9"/>
        <v>78304.973222737724</v>
      </c>
      <c r="G19" s="41">
        <f t="shared" si="9"/>
        <v>78304.973222737724</v>
      </c>
      <c r="H19" s="41">
        <f t="shared" si="9"/>
        <v>80654.122419419858</v>
      </c>
      <c r="I19" s="41">
        <f t="shared" si="9"/>
        <v>80654.122419419858</v>
      </c>
      <c r="J19" s="41">
        <f t="shared" si="9"/>
        <v>80654.122419419858</v>
      </c>
      <c r="K19" s="41">
        <f t="shared" si="9"/>
        <v>85493.369764585063</v>
      </c>
      <c r="L19" s="41">
        <f t="shared" si="9"/>
        <v>0</v>
      </c>
      <c r="M19" s="41">
        <f t="shared" si="9"/>
        <v>0</v>
      </c>
      <c r="N19" s="41">
        <f t="shared" si="9"/>
        <v>0</v>
      </c>
      <c r="O19" s="41">
        <f t="shared" si="9"/>
        <v>0</v>
      </c>
      <c r="P19" s="41">
        <f t="shared" si="9"/>
        <v>0</v>
      </c>
      <c r="Q19" s="41">
        <f t="shared" si="9"/>
        <v>0</v>
      </c>
      <c r="R19" s="41">
        <f t="shared" si="9"/>
        <v>0</v>
      </c>
      <c r="S19" s="41">
        <f t="shared" si="9"/>
        <v>0</v>
      </c>
      <c r="T19" s="41">
        <f t="shared" si="9"/>
        <v>0</v>
      </c>
      <c r="U19" s="41">
        <f t="shared" si="9"/>
        <v>0</v>
      </c>
      <c r="V19" s="41">
        <f t="shared" si="9"/>
        <v>0</v>
      </c>
      <c r="W19" s="41">
        <f t="shared" si="9"/>
        <v>0</v>
      </c>
      <c r="X19" s="41">
        <f t="shared" si="9"/>
        <v>0</v>
      </c>
      <c r="Y19" s="41">
        <f t="shared" si="9"/>
        <v>0</v>
      </c>
      <c r="Z19" s="41">
        <f t="shared" si="9"/>
        <v>0</v>
      </c>
      <c r="AA19" s="41">
        <f t="shared" si="9"/>
        <v>0</v>
      </c>
      <c r="AB19" s="41">
        <f t="shared" si="9"/>
        <v>0</v>
      </c>
      <c r="AC19" s="41">
        <f t="shared" si="9"/>
        <v>0</v>
      </c>
      <c r="AD19" s="41">
        <f t="shared" si="9"/>
        <v>0</v>
      </c>
      <c r="AE19" s="40">
        <f t="shared" si="9"/>
        <v>0</v>
      </c>
    </row>
    <row r="20" spans="1:31" outlineLevel="1" x14ac:dyDescent="0.25">
      <c r="A20" s="44" t="s">
        <v>52</v>
      </c>
      <c r="B20" s="41">
        <f t="shared" ref="B20:AE20" si="10">IF(B8&gt;0,B11*0.35*Apartments_CDC*Full_Comm_Rate_A,0)</f>
        <v>0</v>
      </c>
      <c r="C20" s="41">
        <f t="shared" si="10"/>
        <v>0</v>
      </c>
      <c r="D20" s="41">
        <f t="shared" si="10"/>
        <v>541732.51915101567</v>
      </c>
      <c r="E20" s="41">
        <f t="shared" si="10"/>
        <v>574236.47030007665</v>
      </c>
      <c r="F20" s="41">
        <f t="shared" si="10"/>
        <v>574236.47030007665</v>
      </c>
      <c r="G20" s="41">
        <f t="shared" si="10"/>
        <v>574236.47030007665</v>
      </c>
      <c r="H20" s="41">
        <f t="shared" si="10"/>
        <v>591463.56440907891</v>
      </c>
      <c r="I20" s="41">
        <f t="shared" si="10"/>
        <v>591463.56440907891</v>
      </c>
      <c r="J20" s="41">
        <f t="shared" si="10"/>
        <v>591463.56440907891</v>
      </c>
      <c r="K20" s="41">
        <f t="shared" si="10"/>
        <v>626951.37827362365</v>
      </c>
      <c r="L20" s="41">
        <f t="shared" si="10"/>
        <v>626951.37827362365</v>
      </c>
      <c r="M20" s="41">
        <f t="shared" si="10"/>
        <v>626951.37827362365</v>
      </c>
      <c r="N20" s="41">
        <f t="shared" si="10"/>
        <v>645759.91962183244</v>
      </c>
      <c r="O20" s="41">
        <f t="shared" si="10"/>
        <v>645759.91962183244</v>
      </c>
      <c r="P20" s="41">
        <f t="shared" si="10"/>
        <v>645759.91962183244</v>
      </c>
      <c r="Q20" s="41">
        <f t="shared" si="10"/>
        <v>684505.51479914249</v>
      </c>
      <c r="R20" s="41">
        <f t="shared" si="10"/>
        <v>684505.51479914249</v>
      </c>
      <c r="S20" s="41">
        <f t="shared" si="10"/>
        <v>0</v>
      </c>
      <c r="T20" s="41">
        <f t="shared" si="10"/>
        <v>0</v>
      </c>
      <c r="U20" s="41">
        <f t="shared" si="10"/>
        <v>0</v>
      </c>
      <c r="V20" s="41">
        <f t="shared" si="10"/>
        <v>0</v>
      </c>
      <c r="W20" s="41">
        <f t="shared" si="10"/>
        <v>0</v>
      </c>
      <c r="X20" s="41">
        <f t="shared" si="10"/>
        <v>0</v>
      </c>
      <c r="Y20" s="41">
        <f t="shared" si="10"/>
        <v>0</v>
      </c>
      <c r="Z20" s="41">
        <f t="shared" si="10"/>
        <v>0</v>
      </c>
      <c r="AA20" s="41">
        <f t="shared" si="10"/>
        <v>0</v>
      </c>
      <c r="AB20" s="41">
        <f t="shared" si="10"/>
        <v>0</v>
      </c>
      <c r="AC20" s="41">
        <f t="shared" si="10"/>
        <v>0</v>
      </c>
      <c r="AD20" s="41">
        <f t="shared" si="10"/>
        <v>0</v>
      </c>
      <c r="AE20" s="40">
        <f t="shared" si="10"/>
        <v>0</v>
      </c>
    </row>
    <row r="21" spans="1:31" outlineLevel="1" x14ac:dyDescent="0.25">
      <c r="A21" s="43" t="s">
        <v>51</v>
      </c>
      <c r="B21" s="119">
        <f>IF(SUM(B18:B20)=0,IF(C21=0,IF(SUM(B18:B20)=0,SUM(C18:C20)*0.5,SUM(D18:D20)*0.25),SUM(D18:D20)*0.25),0)</f>
        <v>153901.28384972038</v>
      </c>
      <c r="C21" s="119">
        <f t="shared" ref="C21:AE21" si="11">IF(SUM(C18:C20)=0,IF(D21=0,IF(SUM(C18:C20)=0,SUM(D18:D20)*0.5,SUM(E18:E20)*0.25),SUM(E18:E20)*0.25),0)</f>
        <v>307802.56769944075</v>
      </c>
      <c r="D21" s="41">
        <f t="shared" si="11"/>
        <v>0</v>
      </c>
      <c r="E21" s="41">
        <f t="shared" si="11"/>
        <v>0</v>
      </c>
      <c r="F21" s="41">
        <f t="shared" si="11"/>
        <v>0</v>
      </c>
      <c r="G21" s="41">
        <f t="shared" si="11"/>
        <v>0</v>
      </c>
      <c r="H21" s="41">
        <f t="shared" si="11"/>
        <v>0</v>
      </c>
      <c r="I21" s="41">
        <f t="shared" si="11"/>
        <v>0</v>
      </c>
      <c r="J21" s="41">
        <f t="shared" si="11"/>
        <v>0</v>
      </c>
      <c r="K21" s="41">
        <f t="shared" si="11"/>
        <v>0</v>
      </c>
      <c r="L21" s="41">
        <f t="shared" si="11"/>
        <v>0</v>
      </c>
      <c r="M21" s="41">
        <f t="shared" si="11"/>
        <v>0</v>
      </c>
      <c r="N21" s="41">
        <f t="shared" si="11"/>
        <v>0</v>
      </c>
      <c r="O21" s="41">
        <f t="shared" si="11"/>
        <v>0</v>
      </c>
      <c r="P21" s="41">
        <f t="shared" si="11"/>
        <v>0</v>
      </c>
      <c r="Q21" s="41">
        <f t="shared" si="11"/>
        <v>0</v>
      </c>
      <c r="R21" s="41">
        <f t="shared" si="11"/>
        <v>0</v>
      </c>
      <c r="S21" s="41">
        <f t="shared" si="11"/>
        <v>0</v>
      </c>
      <c r="T21" s="41">
        <f t="shared" si="11"/>
        <v>0</v>
      </c>
      <c r="U21" s="41">
        <f t="shared" si="11"/>
        <v>0</v>
      </c>
      <c r="V21" s="41">
        <f t="shared" si="11"/>
        <v>0</v>
      </c>
      <c r="W21" s="41">
        <f t="shared" si="11"/>
        <v>0</v>
      </c>
      <c r="X21" s="41">
        <f t="shared" si="11"/>
        <v>0</v>
      </c>
      <c r="Y21" s="41">
        <f t="shared" si="11"/>
        <v>0</v>
      </c>
      <c r="Z21" s="41">
        <f t="shared" si="11"/>
        <v>0</v>
      </c>
      <c r="AA21" s="41">
        <f t="shared" si="11"/>
        <v>0</v>
      </c>
      <c r="AB21" s="41">
        <f t="shared" si="11"/>
        <v>0</v>
      </c>
      <c r="AC21" s="41">
        <f t="shared" si="11"/>
        <v>0</v>
      </c>
      <c r="AD21" s="41">
        <f t="shared" si="11"/>
        <v>0</v>
      </c>
      <c r="AE21" s="40">
        <f t="shared" si="11"/>
        <v>0</v>
      </c>
    </row>
    <row r="22" spans="1:31" outlineLevel="1" x14ac:dyDescent="0.25">
      <c r="A22" s="42" t="s">
        <v>50</v>
      </c>
      <c r="B22" s="41">
        <f t="shared" ref="B22:AE22" si="12">IF(B7=0,IF(B8=0,0,(B11*Apartments_Retained*0.35*Full_Comm_Rate_A)),((B10*Land_Growth_Retained*0.35*Full_Comm_Rate_A)+IF(B8=0,0,(B11*Apartments_Retained*0.35*Full_Comm_Rate_A))))</f>
        <v>0</v>
      </c>
      <c r="C22" s="41">
        <f t="shared" si="12"/>
        <v>0</v>
      </c>
      <c r="D22" s="41">
        <f t="shared" si="12"/>
        <v>615605.13539888151</v>
      </c>
      <c r="E22" s="41">
        <f t="shared" si="12"/>
        <v>652541.44352281443</v>
      </c>
      <c r="F22" s="41">
        <f t="shared" si="12"/>
        <v>652541.44352281443</v>
      </c>
      <c r="G22" s="41">
        <f t="shared" si="12"/>
        <v>652541.44352281443</v>
      </c>
      <c r="H22" s="41">
        <f t="shared" si="12"/>
        <v>672117.68682849873</v>
      </c>
      <c r="I22" s="41">
        <f t="shared" si="12"/>
        <v>672117.68682849873</v>
      </c>
      <c r="J22" s="41">
        <f t="shared" si="12"/>
        <v>672117.68682849873</v>
      </c>
      <c r="K22" s="41">
        <f t="shared" si="12"/>
        <v>712444.74803820869</v>
      </c>
      <c r="L22" s="41">
        <f t="shared" si="12"/>
        <v>626951.37827362365</v>
      </c>
      <c r="M22" s="41">
        <f t="shared" si="12"/>
        <v>626951.37827362365</v>
      </c>
      <c r="N22" s="41">
        <f t="shared" si="12"/>
        <v>645759.91962183244</v>
      </c>
      <c r="O22" s="41">
        <f t="shared" si="12"/>
        <v>645759.91962183244</v>
      </c>
      <c r="P22" s="41">
        <f t="shared" si="12"/>
        <v>645759.91962183244</v>
      </c>
      <c r="Q22" s="41">
        <f t="shared" si="12"/>
        <v>684505.51479914249</v>
      </c>
      <c r="R22" s="41">
        <f t="shared" si="12"/>
        <v>684505.51479914249</v>
      </c>
      <c r="S22" s="41">
        <f t="shared" si="12"/>
        <v>0</v>
      </c>
      <c r="T22" s="41">
        <f t="shared" si="12"/>
        <v>0</v>
      </c>
      <c r="U22" s="41">
        <f t="shared" si="12"/>
        <v>0</v>
      </c>
      <c r="V22" s="41">
        <f t="shared" si="12"/>
        <v>0</v>
      </c>
      <c r="W22" s="41">
        <f t="shared" si="12"/>
        <v>0</v>
      </c>
      <c r="X22" s="41">
        <f t="shared" si="12"/>
        <v>0</v>
      </c>
      <c r="Y22" s="41">
        <f t="shared" si="12"/>
        <v>0</v>
      </c>
      <c r="Z22" s="41">
        <f t="shared" si="12"/>
        <v>0</v>
      </c>
      <c r="AA22" s="41">
        <f t="shared" si="12"/>
        <v>0</v>
      </c>
      <c r="AB22" s="41">
        <f t="shared" si="12"/>
        <v>0</v>
      </c>
      <c r="AC22" s="41">
        <f t="shared" si="12"/>
        <v>0</v>
      </c>
      <c r="AD22" s="41">
        <f t="shared" si="12"/>
        <v>0</v>
      </c>
      <c r="AE22" s="40">
        <f t="shared" si="12"/>
        <v>0</v>
      </c>
    </row>
    <row r="23" spans="1:31" x14ac:dyDescent="0.25">
      <c r="A23" s="65" t="s">
        <v>49</v>
      </c>
      <c r="B23" s="17">
        <f t="shared" ref="B23:AE23" si="13">SUM(B16:B21)</f>
        <v>181387.10335916412</v>
      </c>
      <c r="C23" s="17">
        <f t="shared" si="13"/>
        <v>335288.38720888452</v>
      </c>
      <c r="D23" s="17">
        <f t="shared" si="13"/>
        <v>643090.95490832522</v>
      </c>
      <c r="E23" s="17">
        <f t="shared" si="13"/>
        <v>680027.26303225814</v>
      </c>
      <c r="F23" s="17">
        <f t="shared" si="13"/>
        <v>680027.26303225814</v>
      </c>
      <c r="G23" s="17">
        <f t="shared" si="13"/>
        <v>680027.26303225814</v>
      </c>
      <c r="H23" s="17">
        <f t="shared" si="13"/>
        <v>699603.50633794256</v>
      </c>
      <c r="I23" s="17">
        <f t="shared" si="13"/>
        <v>699603.50633794256</v>
      </c>
      <c r="J23" s="17">
        <f t="shared" si="13"/>
        <v>699603.50633794256</v>
      </c>
      <c r="K23" s="17">
        <f t="shared" si="13"/>
        <v>739930.5675476524</v>
      </c>
      <c r="L23" s="17">
        <f t="shared" si="13"/>
        <v>825423.93731223745</v>
      </c>
      <c r="M23" s="17">
        <f t="shared" si="13"/>
        <v>825423.93731223745</v>
      </c>
      <c r="N23" s="17">
        <f t="shared" si="13"/>
        <v>849362.08084632142</v>
      </c>
      <c r="O23" s="17">
        <f t="shared" si="13"/>
        <v>849362.08084632142</v>
      </c>
      <c r="P23" s="17">
        <f t="shared" si="13"/>
        <v>849362.08084632142</v>
      </c>
      <c r="Q23" s="17">
        <f t="shared" si="13"/>
        <v>898674.65652653412</v>
      </c>
      <c r="R23" s="17">
        <f t="shared" si="13"/>
        <v>898674.65652653412</v>
      </c>
      <c r="S23" s="17">
        <f t="shared" si="13"/>
        <v>1583180.1713256766</v>
      </c>
      <c r="T23" s="17">
        <f t="shared" si="13"/>
        <v>1629851.0018801638</v>
      </c>
      <c r="U23" s="17">
        <f t="shared" si="13"/>
        <v>1629851.0018801638</v>
      </c>
      <c r="V23" s="17">
        <f t="shared" si="13"/>
        <v>1629851.0018801638</v>
      </c>
      <c r="W23" s="17">
        <f t="shared" si="13"/>
        <v>1725992.9128224067</v>
      </c>
      <c r="X23" s="17">
        <f t="shared" si="13"/>
        <v>1725992.9128224067</v>
      </c>
      <c r="Y23" s="17">
        <f t="shared" si="13"/>
        <v>1725992.9128224067</v>
      </c>
      <c r="Z23" s="17">
        <f t="shared" si="13"/>
        <v>1776948.1256217957</v>
      </c>
      <c r="AA23" s="17">
        <f t="shared" si="13"/>
        <v>1776948.1256217957</v>
      </c>
      <c r="AB23" s="17">
        <f t="shared" si="13"/>
        <v>1776948.1256217957</v>
      </c>
      <c r="AC23" s="17">
        <f t="shared" si="13"/>
        <v>1881915.8639885369</v>
      </c>
      <c r="AD23" s="17">
        <f t="shared" si="13"/>
        <v>1881915.8639885369</v>
      </c>
      <c r="AE23" s="38">
        <f t="shared" si="13"/>
        <v>1881915.8639885369</v>
      </c>
    </row>
    <row r="24" spans="1:31" x14ac:dyDescent="0.25">
      <c r="A24" s="37" t="s">
        <v>46</v>
      </c>
      <c r="B24" s="36">
        <f t="shared" ref="B24:AE24" si="14">IF(B25=0,SUM(B18:B21),"ERROR")</f>
        <v>153901.28384972038</v>
      </c>
      <c r="C24" s="36">
        <f t="shared" si="14"/>
        <v>307802.56769944075</v>
      </c>
      <c r="D24" s="36">
        <f t="shared" si="14"/>
        <v>615605.13539888151</v>
      </c>
      <c r="E24" s="36">
        <f t="shared" si="14"/>
        <v>652541.44352281443</v>
      </c>
      <c r="F24" s="36">
        <f t="shared" si="14"/>
        <v>652541.44352281443</v>
      </c>
      <c r="G24" s="36">
        <f t="shared" si="14"/>
        <v>652541.44352281443</v>
      </c>
      <c r="H24" s="36">
        <f t="shared" si="14"/>
        <v>672117.68682849873</v>
      </c>
      <c r="I24" s="36">
        <f t="shared" si="14"/>
        <v>672117.68682849873</v>
      </c>
      <c r="J24" s="36">
        <f t="shared" si="14"/>
        <v>672117.68682849873</v>
      </c>
      <c r="K24" s="36">
        <f t="shared" si="14"/>
        <v>712444.74803820869</v>
      </c>
      <c r="L24" s="36">
        <f t="shared" si="14"/>
        <v>671814.79040480871</v>
      </c>
      <c r="M24" s="36">
        <f t="shared" si="14"/>
        <v>671814.79040480871</v>
      </c>
      <c r="N24" s="36">
        <f t="shared" si="14"/>
        <v>691969.23411695298</v>
      </c>
      <c r="O24" s="36">
        <f t="shared" si="14"/>
        <v>691969.23411695298</v>
      </c>
      <c r="P24" s="36">
        <f t="shared" si="14"/>
        <v>691969.23411695298</v>
      </c>
      <c r="Q24" s="36">
        <f t="shared" si="14"/>
        <v>733487.38816397032</v>
      </c>
      <c r="R24" s="36">
        <f t="shared" si="14"/>
        <v>733487.38816397032</v>
      </c>
      <c r="S24" s="36">
        <f t="shared" si="14"/>
        <v>408182.27804023161</v>
      </c>
      <c r="T24" s="36">
        <f t="shared" si="14"/>
        <v>420427.74638143863</v>
      </c>
      <c r="U24" s="36">
        <f t="shared" si="14"/>
        <v>420427.74638143863</v>
      </c>
      <c r="V24" s="36">
        <f t="shared" si="14"/>
        <v>420427.74638143863</v>
      </c>
      <c r="W24" s="36">
        <f t="shared" si="14"/>
        <v>445653.41116432491</v>
      </c>
      <c r="X24" s="36">
        <f t="shared" si="14"/>
        <v>445653.41116432491</v>
      </c>
      <c r="Y24" s="36">
        <f t="shared" si="14"/>
        <v>445653.41116432491</v>
      </c>
      <c r="Z24" s="36">
        <f t="shared" si="14"/>
        <v>459023.01349925471</v>
      </c>
      <c r="AA24" s="36">
        <f t="shared" si="14"/>
        <v>459023.01349925471</v>
      </c>
      <c r="AB24" s="36">
        <f t="shared" si="14"/>
        <v>459023.01349925471</v>
      </c>
      <c r="AC24" s="36">
        <f t="shared" si="14"/>
        <v>486564.39430921001</v>
      </c>
      <c r="AD24" s="36">
        <f t="shared" si="14"/>
        <v>486564.39430921001</v>
      </c>
      <c r="AE24" s="35">
        <f t="shared" si="14"/>
        <v>486564.39430921001</v>
      </c>
    </row>
    <row r="25" spans="1:31" ht="15.75" thickBot="1" x14ac:dyDescent="0.3">
      <c r="A25" s="34" t="s">
        <v>48</v>
      </c>
      <c r="B25" s="80">
        <f t="shared" ref="B25:AE25" si="15">SUM(B16:B20,B22)-B14</f>
        <v>0</v>
      </c>
      <c r="C25" s="33">
        <f t="shared" si="15"/>
        <v>0</v>
      </c>
      <c r="D25" s="33">
        <f t="shared" si="15"/>
        <v>0</v>
      </c>
      <c r="E25" s="33">
        <f t="shared" si="15"/>
        <v>0</v>
      </c>
      <c r="F25" s="33">
        <f t="shared" si="15"/>
        <v>0</v>
      </c>
      <c r="G25" s="33">
        <f t="shared" si="15"/>
        <v>0</v>
      </c>
      <c r="H25" s="33">
        <f t="shared" si="15"/>
        <v>0</v>
      </c>
      <c r="I25" s="33">
        <f t="shared" si="15"/>
        <v>0</v>
      </c>
      <c r="J25" s="33">
        <f t="shared" si="15"/>
        <v>0</v>
      </c>
      <c r="K25" s="33">
        <f t="shared" si="15"/>
        <v>0</v>
      </c>
      <c r="L25" s="33">
        <f t="shared" si="15"/>
        <v>0</v>
      </c>
      <c r="M25" s="33">
        <f t="shared" si="15"/>
        <v>0</v>
      </c>
      <c r="N25" s="33">
        <f t="shared" si="15"/>
        <v>0</v>
      </c>
      <c r="O25" s="33">
        <f t="shared" si="15"/>
        <v>0</v>
      </c>
      <c r="P25" s="33">
        <f t="shared" si="15"/>
        <v>0</v>
      </c>
      <c r="Q25" s="33">
        <f t="shared" si="15"/>
        <v>0</v>
      </c>
      <c r="R25" s="33">
        <f t="shared" si="15"/>
        <v>0</v>
      </c>
      <c r="S25" s="33">
        <f t="shared" si="15"/>
        <v>0</v>
      </c>
      <c r="T25" s="33">
        <f t="shared" si="15"/>
        <v>0</v>
      </c>
      <c r="U25" s="33">
        <f t="shared" si="15"/>
        <v>0</v>
      </c>
      <c r="V25" s="33">
        <f t="shared" si="15"/>
        <v>0</v>
      </c>
      <c r="W25" s="33">
        <f t="shared" si="15"/>
        <v>0</v>
      </c>
      <c r="X25" s="33">
        <f t="shared" si="15"/>
        <v>0</v>
      </c>
      <c r="Y25" s="33">
        <f t="shared" si="15"/>
        <v>0</v>
      </c>
      <c r="Z25" s="33">
        <f t="shared" si="15"/>
        <v>0</v>
      </c>
      <c r="AA25" s="33">
        <f t="shared" si="15"/>
        <v>0</v>
      </c>
      <c r="AB25" s="33">
        <f t="shared" si="15"/>
        <v>0</v>
      </c>
      <c r="AC25" s="33">
        <f t="shared" si="15"/>
        <v>0</v>
      </c>
      <c r="AD25" s="33">
        <f t="shared" si="15"/>
        <v>0</v>
      </c>
      <c r="AE25" s="32">
        <f t="shared" si="15"/>
        <v>0</v>
      </c>
    </row>
    <row r="26" spans="1:31" ht="7.5" customHeight="1" x14ac:dyDescent="0.25">
      <c r="A26" s="79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</row>
    <row r="27" spans="1:31" ht="15.75" thickBot="1" x14ac:dyDescent="0.3">
      <c r="A27" s="16" t="str">
        <f>Assumptions!$A$13</f>
        <v>Office</v>
      </c>
      <c r="B27" s="77"/>
      <c r="C27" s="76"/>
      <c r="D27" s="75"/>
      <c r="E27" s="74"/>
      <c r="F27" s="73"/>
      <c r="G27" s="72"/>
      <c r="H27" s="71"/>
      <c r="I27" s="70"/>
      <c r="N27" s="69"/>
    </row>
    <row r="28" spans="1:31" s="87" customFormat="1" outlineLevel="1" x14ac:dyDescent="0.25">
      <c r="A28" s="115" t="s">
        <v>63</v>
      </c>
      <c r="B28" s="116">
        <f>IF(Land_Growth_Term&gt;0,1)</f>
        <v>1</v>
      </c>
      <c r="C28" s="63">
        <f t="shared" ref="C28:K28" si="16">IF(Land_Growth_Term&gt;0,B28+1)</f>
        <v>2</v>
      </c>
      <c r="D28" s="63">
        <f t="shared" si="16"/>
        <v>3</v>
      </c>
      <c r="E28" s="63">
        <f t="shared" si="16"/>
        <v>4</v>
      </c>
      <c r="F28" s="63">
        <f t="shared" si="16"/>
        <v>5</v>
      </c>
      <c r="G28" s="63">
        <f t="shared" si="16"/>
        <v>6</v>
      </c>
      <c r="H28" s="63">
        <f t="shared" si="16"/>
        <v>7</v>
      </c>
      <c r="I28" s="63">
        <f t="shared" si="16"/>
        <v>8</v>
      </c>
      <c r="J28" s="63">
        <f t="shared" si="16"/>
        <v>9</v>
      </c>
      <c r="K28" s="63">
        <f t="shared" si="16"/>
        <v>10</v>
      </c>
      <c r="L28" s="63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7"/>
    </row>
    <row r="29" spans="1:31" s="87" customFormat="1" outlineLevel="1" x14ac:dyDescent="0.25">
      <c r="A29" s="42" t="s">
        <v>61</v>
      </c>
      <c r="B29" s="61">
        <f>IF(Assumptions!$B$14&gt;=B$2,0,IF(Assumptions!$B$14+1=B$2,1,IF(Assumptions!$B$14+15&gt;=B$2,A29+1,0)))</f>
        <v>0</v>
      </c>
      <c r="C29" s="61">
        <f>IF(Assumptions!$B$14&gt;=C$2,0,IF(Assumptions!$B$14+1=C$2,1,IF(Assumptions!$B$14+15&gt;=C$2,B29+1,0)))</f>
        <v>0</v>
      </c>
      <c r="D29" s="61">
        <f>IF(Assumptions!$B$14&gt;=D$2,0,IF(Assumptions!$B$14+1=D$2,1,IF(Assumptions!$B$14+15&gt;=D$2,C29+1,0)))</f>
        <v>1</v>
      </c>
      <c r="E29" s="61">
        <f>IF(Assumptions!$B$14&gt;=E$2,0,IF(Assumptions!$B$14+1=E$2,1,IF(Assumptions!$B$14+15&gt;=E$2,D29+1,0)))</f>
        <v>2</v>
      </c>
      <c r="F29" s="61">
        <f>IF(Assumptions!$B$14&gt;=F$2,0,IF(Assumptions!$B$14+1=F$2,1,IF(Assumptions!$B$14+15&gt;=F$2,E29+1,0)))</f>
        <v>3</v>
      </c>
      <c r="G29" s="61">
        <f>IF(Assumptions!$B$14&gt;=G$2,0,IF(Assumptions!$B$14+1=G$2,1,IF(Assumptions!$B$14+15&gt;=G$2,F29+1,0)))</f>
        <v>4</v>
      </c>
      <c r="H29" s="61">
        <f>IF(Assumptions!$B$14&gt;=H$2,0,IF(Assumptions!$B$14+1=H$2,1,IF(Assumptions!$B$14+15&gt;=H$2,G29+1,0)))</f>
        <v>5</v>
      </c>
      <c r="I29" s="61">
        <f>IF(Assumptions!$B$14&gt;=I$2,0,IF(Assumptions!$B$14+1=I$2,1,IF(Assumptions!$B$14+15&gt;=I$2,H29+1,0)))</f>
        <v>6</v>
      </c>
      <c r="J29" s="61">
        <f>IF(Assumptions!$B$14&gt;=J$2,0,IF(Assumptions!$B$14+1=J$2,1,IF(Assumptions!$B$14+15&gt;=J$2,I29+1,0)))</f>
        <v>7</v>
      </c>
      <c r="K29" s="61">
        <f>IF(Assumptions!$B$14&gt;=K$2,0,IF(Assumptions!$B$14+1=K$2,1,IF(Assumptions!$B$14+15&gt;=K$2,J29+1,0)))</f>
        <v>8</v>
      </c>
      <c r="L29" s="61">
        <f>IF(Assumptions!$B$14&gt;=L$2,0,IF(Assumptions!$B$14+1=L$2,1,IF(Assumptions!$B$14+15&gt;=L$2,K29+1,0)))</f>
        <v>9</v>
      </c>
      <c r="M29" s="61">
        <f>IF(Assumptions!$B$14&gt;=M$2,0,IF(Assumptions!$B$14+1=M$2,1,IF(Assumptions!$B$14+15&gt;=M$2,L29+1,0)))</f>
        <v>10</v>
      </c>
      <c r="N29" s="61">
        <f>IF(Assumptions!$B$14&gt;=N$2,0,IF(Assumptions!$B$14+1=N$2,1,IF(Assumptions!$B$14+15&gt;=N$2,M29+1,0)))</f>
        <v>11</v>
      </c>
      <c r="O29" s="61">
        <f>IF(Assumptions!$B$14&gt;=O$2,0,IF(Assumptions!$B$14+1=O$2,1,IF(Assumptions!$B$14+15&gt;=O$2,N29+1,0)))</f>
        <v>12</v>
      </c>
      <c r="P29" s="61">
        <f>IF(Assumptions!$B$14&gt;=P$2,0,IF(Assumptions!$B$14+1=P$2,1,IF(Assumptions!$B$14+15&gt;=P$2,O29+1,0)))</f>
        <v>13</v>
      </c>
      <c r="Q29" s="61">
        <f>IF(Assumptions!$B$14&gt;=Q$2,0,IF(Assumptions!$B$14+1=Q$2,1,IF(Assumptions!$B$14+15&gt;=Q$2,P29+1,0)))</f>
        <v>14</v>
      </c>
      <c r="R29" s="61">
        <f>IF(Assumptions!$B$14&gt;=R$2,0,IF(Assumptions!$B$14+1=R$2,1,IF(Assumptions!$B$14+15&gt;=R$2,Q29+1,0)))</f>
        <v>15</v>
      </c>
      <c r="S29" s="61">
        <f>IF(Assumptions!$B$14&gt;=S$2,0,IF(Assumptions!$B$14+1=S$2,1,IF(Assumptions!$B$14+15&gt;=S$2,R29+1,0)))</f>
        <v>0</v>
      </c>
      <c r="T29" s="61">
        <f>IF(Assumptions!$B$14&gt;=T$2,0,IF(Assumptions!$B$14+1=T$2,1,IF(Assumptions!$B$14+15&gt;=T$2,S29+1,0)))</f>
        <v>0</v>
      </c>
      <c r="U29" s="61">
        <f>IF(Assumptions!$B$14&gt;=U$2,0,IF(Assumptions!$B$14+1=U$2,1,IF(Assumptions!$B$14+15&gt;=U$2,T29+1,0)))</f>
        <v>0</v>
      </c>
      <c r="V29" s="61">
        <f>IF(Assumptions!$B$14&gt;=V$2,0,IF(Assumptions!$B$14+1=V$2,1,IF(Assumptions!$B$14+15&gt;=V$2,U29+1,0)))</f>
        <v>0</v>
      </c>
      <c r="W29" s="61">
        <f>IF(Assumptions!$B$14&gt;=W$2,0,IF(Assumptions!$B$14+1=W$2,1,IF(Assumptions!$B$14+15&gt;=W$2,V29+1,0)))</f>
        <v>0</v>
      </c>
      <c r="X29" s="61">
        <f>IF(Assumptions!$B$14&gt;=X$2,0,IF(Assumptions!$B$14+1=X$2,1,IF(Assumptions!$B$14+15&gt;=X$2,W29+1,0)))</f>
        <v>0</v>
      </c>
      <c r="Y29" s="61">
        <f>IF(Assumptions!$B$14&gt;=Y$2,0,IF(Assumptions!$B$14+1=Y$2,1,IF(Assumptions!$B$14+15&gt;=Y$2,X29+1,0)))</f>
        <v>0</v>
      </c>
      <c r="Z29" s="61">
        <f>IF(Assumptions!$B$14&gt;=Z$2,0,IF(Assumptions!$B$14+1=Z$2,1,IF(Assumptions!$B$14+15&gt;=Z$2,Y29+1,0)))</f>
        <v>0</v>
      </c>
      <c r="AA29" s="61">
        <f>IF(Assumptions!$B$14&gt;=AA$2,0,IF(Assumptions!$B$14+1=AA$2,1,IF(Assumptions!$B$14+15&gt;=AA$2,Z29+1,0)))</f>
        <v>0</v>
      </c>
      <c r="AB29" s="61">
        <f>IF(Assumptions!$B$14&gt;=AB$2,0,IF(Assumptions!$B$14+1=AB$2,1,IF(Assumptions!$B$14+15&gt;=AB$2,AA29+1,0)))</f>
        <v>0</v>
      </c>
      <c r="AC29" s="61">
        <f>IF(Assumptions!$B$14&gt;=AC$2,0,IF(Assumptions!$B$14+1=AC$2,1,IF(Assumptions!$B$14+15&gt;=AC$2,AB29+1,0)))</f>
        <v>0</v>
      </c>
      <c r="AD29" s="61">
        <f>IF(Assumptions!$B$14&gt;=AD$2,0,IF(Assumptions!$B$14+1=AD$2,1,IF(Assumptions!$B$14+15&gt;=AD$2,AC29+1,0)))</f>
        <v>0</v>
      </c>
      <c r="AE29" s="118">
        <f>IF(Assumptions!$B$14&gt;=AE$2,0,IF(Assumptions!$B$14+1=AE$2,1,IF(Assumptions!$B$14+15&gt;=AE$2,AD29+1,0)))</f>
        <v>0</v>
      </c>
    </row>
    <row r="30" spans="1:31" outlineLevel="1" x14ac:dyDescent="0.25">
      <c r="A30" s="59" t="s">
        <v>6</v>
      </c>
      <c r="B30" s="61">
        <f>Office_Base_Val</f>
        <v>139862.5</v>
      </c>
      <c r="C30" s="61">
        <f>B30</f>
        <v>139862.5</v>
      </c>
      <c r="D30" s="61">
        <f t="shared" ref="D30:AE30" si="17">C30</f>
        <v>139862.5</v>
      </c>
      <c r="E30" s="61">
        <f t="shared" si="17"/>
        <v>139862.5</v>
      </c>
      <c r="F30" s="61">
        <f t="shared" si="17"/>
        <v>139862.5</v>
      </c>
      <c r="G30" s="61">
        <f t="shared" si="17"/>
        <v>139862.5</v>
      </c>
      <c r="H30" s="61">
        <f t="shared" si="17"/>
        <v>139862.5</v>
      </c>
      <c r="I30" s="61">
        <f t="shared" si="17"/>
        <v>139862.5</v>
      </c>
      <c r="J30" s="61">
        <f t="shared" si="17"/>
        <v>139862.5</v>
      </c>
      <c r="K30" s="61">
        <f t="shared" si="17"/>
        <v>139862.5</v>
      </c>
      <c r="L30" s="61">
        <f t="shared" si="17"/>
        <v>139862.5</v>
      </c>
      <c r="M30" s="61">
        <f t="shared" si="17"/>
        <v>139862.5</v>
      </c>
      <c r="N30" s="61">
        <f t="shared" si="17"/>
        <v>139862.5</v>
      </c>
      <c r="O30" s="61">
        <f t="shared" si="17"/>
        <v>139862.5</v>
      </c>
      <c r="P30" s="61">
        <f t="shared" si="17"/>
        <v>139862.5</v>
      </c>
      <c r="Q30" s="61">
        <f t="shared" si="17"/>
        <v>139862.5</v>
      </c>
      <c r="R30" s="61">
        <f t="shared" si="17"/>
        <v>139862.5</v>
      </c>
      <c r="S30" s="61">
        <f t="shared" si="17"/>
        <v>139862.5</v>
      </c>
      <c r="T30" s="61">
        <f t="shared" si="17"/>
        <v>139862.5</v>
      </c>
      <c r="U30" s="61">
        <f t="shared" si="17"/>
        <v>139862.5</v>
      </c>
      <c r="V30" s="61">
        <f t="shared" si="17"/>
        <v>139862.5</v>
      </c>
      <c r="W30" s="61">
        <f t="shared" si="17"/>
        <v>139862.5</v>
      </c>
      <c r="X30" s="61">
        <f t="shared" si="17"/>
        <v>139862.5</v>
      </c>
      <c r="Y30" s="61">
        <f t="shared" si="17"/>
        <v>139862.5</v>
      </c>
      <c r="Z30" s="61">
        <f t="shared" si="17"/>
        <v>139862.5</v>
      </c>
      <c r="AA30" s="61">
        <f t="shared" si="17"/>
        <v>139862.5</v>
      </c>
      <c r="AB30" s="61">
        <f t="shared" si="17"/>
        <v>139862.5</v>
      </c>
      <c r="AC30" s="61">
        <f t="shared" si="17"/>
        <v>139862.5</v>
      </c>
      <c r="AD30" s="61">
        <f t="shared" si="17"/>
        <v>139862.5</v>
      </c>
      <c r="AE30" s="60">
        <f t="shared" si="17"/>
        <v>139862.5</v>
      </c>
    </row>
    <row r="31" spans="1:31" outlineLevel="1" x14ac:dyDescent="0.25">
      <c r="A31" s="59" t="s">
        <v>8</v>
      </c>
      <c r="B31" s="112">
        <f>IF(B$2&lt;=Assumptions!$B$14,0,IF(B$2=Assumptions!$B$14+1,Office_Land_Growth*(1+B$4),IF(B$2&gt;Assumptions!$B$14,A31*(1+B$3),0)))</f>
        <v>0</v>
      </c>
      <c r="C31" s="61">
        <f>IF(C$2&lt;=Assumptions!$B$14,0,IF(C$2=Assumptions!$B$14+1,Office_Land_Growth*(1+C$4),IF(C$2&gt;Assumptions!$B$14,B31*(1+C$3),0)))</f>
        <v>0</v>
      </c>
      <c r="D31" s="61">
        <f>IF(D$2&lt;=Assumptions!$B$14,0,IF(D$2=Assumptions!$B$14+1,Office_Land_Growth*(1+D$4),IF(D$2&gt;Assumptions!$B$14,C31*(1+D$3),0)))</f>
        <v>833080.995</v>
      </c>
      <c r="E31" s="41">
        <f>IF(E$2&lt;=Assumptions!$B$14,0,IF(E$2=Assumptions!$B$14+1,Office_Land_Growth*(1+E$4),IF(E$2&gt;Assumptions!$B$14,D31*(1+E$3),0)))</f>
        <v>883065.85470000003</v>
      </c>
      <c r="F31" s="41">
        <f>IF(F$2&lt;=Assumptions!$B$14,0,IF(F$2=Assumptions!$B$14+1,Office_Land_Growth*(1+F$4),IF(F$2&gt;Assumptions!$B$14,E31*(1+F$3),0)))</f>
        <v>883065.85470000003</v>
      </c>
      <c r="G31" s="41">
        <f>IF(G$2&lt;=Assumptions!$B$14,0,IF(G$2=Assumptions!$B$14+1,Office_Land_Growth*(1+G$4),IF(G$2&gt;Assumptions!$B$14,F31*(1+G$3),0)))</f>
        <v>883065.85470000003</v>
      </c>
      <c r="H31" s="41">
        <f>IF(H$2&lt;=Assumptions!$B$14,0,IF(H$2=Assumptions!$B$14+1,Office_Land_Growth*(1+H$4),IF(H$2&gt;Assumptions!$B$14,G31*(1+H$3),0)))</f>
        <v>909557.83034099999</v>
      </c>
      <c r="I31" s="41">
        <f>IF(I$2&lt;=Assumptions!$B$14,0,IF(I$2=Assumptions!$B$14+1,Office_Land_Growth*(1+I$4),IF(I$2&gt;Assumptions!$B$14,H31*(1+I$3),0)))</f>
        <v>909557.83034099999</v>
      </c>
      <c r="J31" s="41">
        <f>IF(J$2&lt;=Assumptions!$B$14,0,IF(J$2=Assumptions!$B$14+1,Office_Land_Growth*(1+J$4),IF(J$2&gt;Assumptions!$B$14,I31*(1+J$3),0)))</f>
        <v>909557.83034099999</v>
      </c>
      <c r="K31" s="41">
        <f>IF(K$2&lt;=Assumptions!$B$14,0,IF(K$2=Assumptions!$B$14+1,Office_Land_Growth*(1+K$4),IF(K$2&gt;Assumptions!$B$14,J31*(1+K$3),0)))</f>
        <v>964131.30016146007</v>
      </c>
      <c r="L31" s="41">
        <f>IF(L$2&lt;=Assumptions!$B$14,0,IF(L$2=Assumptions!$B$14+1,Office_Land_Growth*(1+L$4),IF(L$2&gt;Assumptions!$B$14,K31*(1+L$3),0)))</f>
        <v>964131.30016146007</v>
      </c>
      <c r="M31" s="41">
        <f>IF(M$2&lt;=Assumptions!$B$14,0,IF(M$2=Assumptions!$B$14+1,Office_Land_Growth*(1+M$4),IF(M$2&gt;Assumptions!$B$14,L31*(1+M$3),0)))</f>
        <v>964131.30016146007</v>
      </c>
      <c r="N31" s="41">
        <f>IF(N$2&lt;=Assumptions!$B$14,0,IF(N$2=Assumptions!$B$14+1,Office_Land_Growth*(1+N$4),IF(N$2&gt;Assumptions!$B$14,M31*(1+N$3),0)))</f>
        <v>993055.23916630389</v>
      </c>
      <c r="O31" s="41">
        <f>IF(O$2&lt;=Assumptions!$B$14,0,IF(O$2=Assumptions!$B$14+1,Office_Land_Growth*(1+O$4),IF(O$2&gt;Assumptions!$B$14,N31*(1+O$3),0)))</f>
        <v>993055.23916630389</v>
      </c>
      <c r="P31" s="41">
        <f>IF(P$2&lt;=Assumptions!$B$14,0,IF(P$2=Assumptions!$B$14+1,Office_Land_Growth*(1+P$4),IF(P$2&gt;Assumptions!$B$14,O31*(1+P$3),0)))</f>
        <v>993055.23916630389</v>
      </c>
      <c r="Q31" s="41">
        <f>IF(Q$2&lt;=Assumptions!$B$14,0,IF(Q$2=Assumptions!$B$14+1,Office_Land_Growth*(1+Q$4),IF(Q$2&gt;Assumptions!$B$14,P31*(1+Q$3),0)))</f>
        <v>1052638.5535162822</v>
      </c>
      <c r="R31" s="41">
        <f>IF(R$2&lt;=Assumptions!$B$14,0,IF(R$2=Assumptions!$B$14+1,Office_Land_Growth*(1+R$4),IF(R$2&gt;Assumptions!$B$14,Q31*(1+R$3),0)))</f>
        <v>1052638.5535162822</v>
      </c>
      <c r="S31" s="41">
        <f>IF(S$2&lt;=Assumptions!$B$14,0,IF(S$2=Assumptions!$B$14+1,Office_Land_Growth*(1+S$4),IF(S$2&gt;Assumptions!$B$14,R31*(1+S$3),0)))</f>
        <v>1052638.5535162822</v>
      </c>
      <c r="T31" s="41">
        <f>IF(T$2&lt;=Assumptions!$B$14,0,IF(T$2=Assumptions!$B$14+1,Office_Land_Growth*(1+T$4),IF(T$2&gt;Assumptions!$B$14,S31*(1+T$3),0)))</f>
        <v>1084217.7101217706</v>
      </c>
      <c r="U31" s="41">
        <f>IF(U$2&lt;=Assumptions!$B$14,0,IF(U$2=Assumptions!$B$14+1,Office_Land_Growth*(1+U$4),IF(U$2&gt;Assumptions!$B$14,T31*(1+U$3),0)))</f>
        <v>1084217.7101217706</v>
      </c>
      <c r="V31" s="41">
        <f>IF(V$2&lt;=Assumptions!$B$14,0,IF(V$2=Assumptions!$B$14+1,Office_Land_Growth*(1+V$4),IF(V$2&gt;Assumptions!$B$14,U31*(1+V$3),0)))</f>
        <v>1084217.7101217706</v>
      </c>
      <c r="W31" s="41">
        <f>IF(W$2&lt;=Assumptions!$B$14,0,IF(W$2=Assumptions!$B$14+1,Office_Land_Growth*(1+W$4),IF(W$2&gt;Assumptions!$B$14,V31*(1+W$3),0)))</f>
        <v>1149270.7727290769</v>
      </c>
      <c r="X31" s="41">
        <f>IF(X$2&lt;=Assumptions!$B$14,0,IF(X$2=Assumptions!$B$14+1,Office_Land_Growth*(1+X$4),IF(X$2&gt;Assumptions!$B$14,W31*(1+X$3),0)))</f>
        <v>1149270.7727290769</v>
      </c>
      <c r="Y31" s="41">
        <f>IF(Y$2&lt;=Assumptions!$B$14,0,IF(Y$2=Assumptions!$B$14+1,Office_Land_Growth*(1+Y$4),IF(Y$2&gt;Assumptions!$B$14,X31*(1+Y$3),0)))</f>
        <v>1149270.7727290769</v>
      </c>
      <c r="Z31" s="41">
        <f>IF(Z$2&lt;=Assumptions!$B$14,0,IF(Z$2=Assumptions!$B$14+1,Office_Land_Growth*(1+Z$4),IF(Z$2&gt;Assumptions!$B$14,Y31*(1+Z$3),0)))</f>
        <v>1183748.8959109492</v>
      </c>
      <c r="AA31" s="41">
        <f>IF(AA$2&lt;=Assumptions!$B$14,0,IF(AA$2=Assumptions!$B$14+1,Office_Land_Growth*(1+AA$4),IF(AA$2&gt;Assumptions!$B$14,Z31*(1+AA$3),0)))</f>
        <v>1183748.8959109492</v>
      </c>
      <c r="AB31" s="41">
        <f>IF(AB$2&lt;=Assumptions!$B$14,0,IF(AB$2=Assumptions!$B$14+1,Office_Land_Growth*(1+AB$4),IF(AB$2&gt;Assumptions!$B$14,AA31*(1+AB$3),0)))</f>
        <v>1183748.8959109492</v>
      </c>
      <c r="AC31" s="41">
        <f>IF(AC$2&lt;=Assumptions!$B$14,0,IF(AC$2=Assumptions!$B$14+1,Office_Land_Growth*(1+AC$4),IF(AC$2&gt;Assumptions!$B$14,AB31*(1+AC$3),0)))</f>
        <v>1254773.8296656061</v>
      </c>
      <c r="AD31" s="41">
        <f>IF(AD$2&lt;=Assumptions!$B$14,0,IF(AD$2=Assumptions!$B$14+1,Office_Land_Growth*(1+AD$4),IF(AD$2&gt;Assumptions!$B$14,AC31*(1+AD$3),0)))</f>
        <v>1254773.8296656061</v>
      </c>
      <c r="AE31" s="40">
        <f>IF(AE$2&lt;=Assumptions!$B$14,0,IF(AE$2=Assumptions!$B$14+1,Office_Land_Growth*(1+AE$4),IF(AE$2&gt;Assumptions!$B$14,AD31*(1+AE$3),0)))</f>
        <v>1254773.8296656061</v>
      </c>
    </row>
    <row r="32" spans="1:31" ht="15.75" outlineLevel="1" thickBot="1" x14ac:dyDescent="0.3">
      <c r="A32" s="84" t="s">
        <v>9</v>
      </c>
      <c r="B32" s="113">
        <f>IF(B$2&lt;=Assumptions!$B$14,0,IF(B$2=Assumptions!$B$14+1,Office_Impvt_Val*(1+B$4),IF(B$2&gt;Assumptions!$B$14,A32*(1+B$3),0)))</f>
        <v>0</v>
      </c>
      <c r="C32" s="113">
        <f>IF(C$2&lt;=Assumptions!$B$14,0,IF(C$2=Assumptions!$B$14+1,Office_Impvt_Val*(1+C$4),IF(C$2&gt;Assumptions!$B$14,B32*(1+C$3),0)))</f>
        <v>0</v>
      </c>
      <c r="D32" s="113">
        <f>IF(D$2&lt;=Assumptions!$B$14,0,IF(D$2=Assumptions!$B$14+1,Office_Impvt_Val*(1+D$4),IF(D$2&gt;Assumptions!$B$14,C32*(1+D$3),0)))</f>
        <v>6109260.6299999999</v>
      </c>
      <c r="E32" s="83">
        <f>IF(E$2&lt;=Assumptions!$B$14,0,IF(E$2=Assumptions!$B$14+1,Office_Impvt_Val*(1+E$4),IF(E$2&gt;Assumptions!$B$14,D32*(1+E$3),0)))</f>
        <v>6475816.2678000005</v>
      </c>
      <c r="F32" s="83">
        <f>IF(F$2&lt;=Assumptions!$B$14,0,IF(F$2=Assumptions!$B$14+1,Office_Impvt_Val*(1+F$4),IF(F$2&gt;Assumptions!$B$14,E32*(1+F$3),0)))</f>
        <v>6475816.2678000005</v>
      </c>
      <c r="G32" s="83">
        <f>IF(G$2&lt;=Assumptions!$B$14,0,IF(G$2=Assumptions!$B$14+1,Office_Impvt_Val*(1+G$4),IF(G$2&gt;Assumptions!$B$14,F32*(1+G$3),0)))</f>
        <v>6475816.2678000005</v>
      </c>
      <c r="H32" s="83">
        <f>IF(H$2&lt;=Assumptions!$B$14,0,IF(H$2=Assumptions!$B$14+1,Office_Impvt_Val*(1+H$4),IF(H$2&gt;Assumptions!$B$14,G32*(1+H$3),0)))</f>
        <v>6670090.7558340011</v>
      </c>
      <c r="I32" s="83">
        <f>IF(I$2&lt;=Assumptions!$B$14,0,IF(I$2=Assumptions!$B$14+1,Office_Impvt_Val*(1+I$4),IF(I$2&gt;Assumptions!$B$14,H32*(1+I$3),0)))</f>
        <v>6670090.7558340011</v>
      </c>
      <c r="J32" s="83">
        <f>IF(J$2&lt;=Assumptions!$B$14,0,IF(J$2=Assumptions!$B$14+1,Office_Impvt_Val*(1+J$4),IF(J$2&gt;Assumptions!$B$14,I32*(1+J$3),0)))</f>
        <v>6670090.7558340011</v>
      </c>
      <c r="K32" s="83">
        <f>IF(K$2&lt;=Assumptions!$B$14,0,IF(K$2=Assumptions!$B$14+1,Office_Impvt_Val*(1+K$4),IF(K$2&gt;Assumptions!$B$14,J32*(1+K$3),0)))</f>
        <v>7070296.2011840418</v>
      </c>
      <c r="L32" s="83">
        <f>IF(L$2&lt;=Assumptions!$B$14,0,IF(L$2=Assumptions!$B$14+1,Office_Impvt_Val*(1+L$4),IF(L$2&gt;Assumptions!$B$14,K32*(1+L$3),0)))</f>
        <v>7070296.2011840418</v>
      </c>
      <c r="M32" s="83">
        <f>IF(M$2&lt;=Assumptions!$B$14,0,IF(M$2=Assumptions!$B$14+1,Office_Impvt_Val*(1+M$4),IF(M$2&gt;Assumptions!$B$14,L32*(1+M$3),0)))</f>
        <v>7070296.2011840418</v>
      </c>
      <c r="N32" s="83">
        <f>IF(N$2&lt;=Assumptions!$B$14,0,IF(N$2=Assumptions!$B$14+1,Office_Impvt_Val*(1+N$4),IF(N$2&gt;Assumptions!$B$14,M32*(1+N$3),0)))</f>
        <v>7282405.0872195633</v>
      </c>
      <c r="O32" s="83">
        <f>IF(O$2&lt;=Assumptions!$B$14,0,IF(O$2=Assumptions!$B$14+1,Office_Impvt_Val*(1+O$4),IF(O$2&gt;Assumptions!$B$14,N32*(1+O$3),0)))</f>
        <v>7282405.0872195633</v>
      </c>
      <c r="P32" s="83">
        <f>IF(P$2&lt;=Assumptions!$B$14,0,IF(P$2=Assumptions!$B$14+1,Office_Impvt_Val*(1+P$4),IF(P$2&gt;Assumptions!$B$14,O32*(1+P$3),0)))</f>
        <v>7282405.0872195633</v>
      </c>
      <c r="Q32" s="83">
        <f>IF(Q$2&lt;=Assumptions!$B$14,0,IF(Q$2=Assumptions!$B$14+1,Office_Impvt_Val*(1+Q$4),IF(Q$2&gt;Assumptions!$B$14,P32*(1+Q$3),0)))</f>
        <v>7719349.3924527373</v>
      </c>
      <c r="R32" s="83">
        <f>IF(R$2&lt;=Assumptions!$B$14,0,IF(R$2=Assumptions!$B$14+1,Office_Impvt_Val*(1+R$4),IF(R$2&gt;Assumptions!$B$14,Q32*(1+R$3),0)))</f>
        <v>7719349.3924527373</v>
      </c>
      <c r="S32" s="83">
        <f>IF(S$2&lt;=Assumptions!$B$14,0,IF(S$2=Assumptions!$B$14+1,Office_Impvt_Val*(1+S$4),IF(S$2&gt;Assumptions!$B$14,R32*(1+S$3),0)))</f>
        <v>7719349.3924527373</v>
      </c>
      <c r="T32" s="83">
        <f>IF(T$2&lt;=Assumptions!$B$14,0,IF(T$2=Assumptions!$B$14+1,Office_Impvt_Val*(1+T$4),IF(T$2&gt;Assumptions!$B$14,S32*(1+T$3),0)))</f>
        <v>7950929.8742263196</v>
      </c>
      <c r="U32" s="83">
        <f>IF(U$2&lt;=Assumptions!$B$14,0,IF(U$2=Assumptions!$B$14+1,Office_Impvt_Val*(1+U$4),IF(U$2&gt;Assumptions!$B$14,T32*(1+U$3),0)))</f>
        <v>7950929.8742263196</v>
      </c>
      <c r="V32" s="83">
        <f>IF(V$2&lt;=Assumptions!$B$14,0,IF(V$2=Assumptions!$B$14+1,Office_Impvt_Val*(1+V$4),IF(V$2&gt;Assumptions!$B$14,U32*(1+V$3),0)))</f>
        <v>7950929.8742263196</v>
      </c>
      <c r="W32" s="83">
        <f>IF(W$2&lt;=Assumptions!$B$14,0,IF(W$2=Assumptions!$B$14+1,Office_Impvt_Val*(1+W$4),IF(W$2&gt;Assumptions!$B$14,V32*(1+W$3),0)))</f>
        <v>8427985.6666798983</v>
      </c>
      <c r="X32" s="83">
        <f>IF(X$2&lt;=Assumptions!$B$14,0,IF(X$2=Assumptions!$B$14+1,Office_Impvt_Val*(1+X$4),IF(X$2&gt;Assumptions!$B$14,W32*(1+X$3),0)))</f>
        <v>8427985.6666798983</v>
      </c>
      <c r="Y32" s="83">
        <f>IF(Y$2&lt;=Assumptions!$B$14,0,IF(Y$2=Assumptions!$B$14+1,Office_Impvt_Val*(1+Y$4),IF(Y$2&gt;Assumptions!$B$14,X32*(1+Y$3),0)))</f>
        <v>8427985.6666798983</v>
      </c>
      <c r="Z32" s="83">
        <f>IF(Z$2&lt;=Assumptions!$B$14,0,IF(Z$2=Assumptions!$B$14+1,Office_Impvt_Val*(1+Z$4),IF(Z$2&gt;Assumptions!$B$14,Y32*(1+Z$3),0)))</f>
        <v>8680825.2366802953</v>
      </c>
      <c r="AA32" s="83">
        <f>IF(AA$2&lt;=Assumptions!$B$14,0,IF(AA$2=Assumptions!$B$14+1,Office_Impvt_Val*(1+AA$4),IF(AA$2&gt;Assumptions!$B$14,Z32*(1+AA$3),0)))</f>
        <v>8680825.2366802953</v>
      </c>
      <c r="AB32" s="83">
        <f>IF(AB$2&lt;=Assumptions!$B$14,0,IF(AB$2=Assumptions!$B$14+1,Office_Impvt_Val*(1+AB$4),IF(AB$2&gt;Assumptions!$B$14,AA32*(1+AB$3),0)))</f>
        <v>8680825.2366802953</v>
      </c>
      <c r="AC32" s="83">
        <f>IF(AC$2&lt;=Assumptions!$B$14,0,IF(AC$2=Assumptions!$B$14+1,Office_Impvt_Val*(1+AC$4),IF(AC$2&gt;Assumptions!$B$14,AB32*(1+AC$3),0)))</f>
        <v>9201674.7508811131</v>
      </c>
      <c r="AD32" s="83">
        <f>IF(AD$2&lt;=Assumptions!$B$14,0,IF(AD$2=Assumptions!$B$14+1,Office_Impvt_Val*(1+AD$4),IF(AD$2&gt;Assumptions!$B$14,AC32*(1+AD$3),0)))</f>
        <v>9201674.7508811131</v>
      </c>
      <c r="AE32" s="82">
        <f>IF(AE$2&lt;=Assumptions!$B$14,0,IF(AE$2=Assumptions!$B$14+1,Office_Impvt_Val*(1+AE$4),IF(AE$2&gt;Assumptions!$B$14,AD32*(1+AE$3),0)))</f>
        <v>9201674.7508811131</v>
      </c>
    </row>
    <row r="33" spans="1:31" outlineLevel="1" x14ac:dyDescent="0.25">
      <c r="A33" s="56" t="s">
        <v>60</v>
      </c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4"/>
    </row>
    <row r="34" spans="1:31" outlineLevel="1" x14ac:dyDescent="0.25">
      <c r="A34" s="53" t="s">
        <v>59</v>
      </c>
      <c r="B34" s="52">
        <f t="shared" ref="B34:AE34" si="18">SUM(B30:B32)</f>
        <v>139862.5</v>
      </c>
      <c r="C34" s="52">
        <f t="shared" si="18"/>
        <v>139862.5</v>
      </c>
      <c r="D34" s="52">
        <f t="shared" si="18"/>
        <v>7082204.125</v>
      </c>
      <c r="E34" s="52">
        <f t="shared" si="18"/>
        <v>7498744.6225000005</v>
      </c>
      <c r="F34" s="52">
        <f t="shared" si="18"/>
        <v>7498744.6225000005</v>
      </c>
      <c r="G34" s="52">
        <f t="shared" si="18"/>
        <v>7498744.6225000005</v>
      </c>
      <c r="H34" s="52">
        <f t="shared" si="18"/>
        <v>7719511.0861750012</v>
      </c>
      <c r="I34" s="52">
        <f t="shared" si="18"/>
        <v>7719511.0861750012</v>
      </c>
      <c r="J34" s="52">
        <f t="shared" si="18"/>
        <v>7719511.0861750012</v>
      </c>
      <c r="K34" s="52">
        <f t="shared" si="18"/>
        <v>8174290.0013455022</v>
      </c>
      <c r="L34" s="52">
        <f t="shared" si="18"/>
        <v>8174290.0013455022</v>
      </c>
      <c r="M34" s="52">
        <f t="shared" si="18"/>
        <v>8174290.0013455022</v>
      </c>
      <c r="N34" s="52">
        <f t="shared" si="18"/>
        <v>8415322.8263858669</v>
      </c>
      <c r="O34" s="52">
        <f t="shared" si="18"/>
        <v>8415322.8263858669</v>
      </c>
      <c r="P34" s="52">
        <f t="shared" si="18"/>
        <v>8415322.8263858669</v>
      </c>
      <c r="Q34" s="52">
        <f t="shared" si="18"/>
        <v>8911850.4459690191</v>
      </c>
      <c r="R34" s="52">
        <f t="shared" si="18"/>
        <v>8911850.4459690191</v>
      </c>
      <c r="S34" s="52">
        <f t="shared" si="18"/>
        <v>8911850.4459690191</v>
      </c>
      <c r="T34" s="52">
        <f t="shared" si="18"/>
        <v>9175010.08434809</v>
      </c>
      <c r="U34" s="52">
        <f t="shared" si="18"/>
        <v>9175010.08434809</v>
      </c>
      <c r="V34" s="52">
        <f t="shared" si="18"/>
        <v>9175010.08434809</v>
      </c>
      <c r="W34" s="52">
        <f t="shared" si="18"/>
        <v>9717118.9394089747</v>
      </c>
      <c r="X34" s="52">
        <f t="shared" si="18"/>
        <v>9717118.9394089747</v>
      </c>
      <c r="Y34" s="52">
        <f t="shared" si="18"/>
        <v>9717118.9394089747</v>
      </c>
      <c r="Z34" s="52">
        <f t="shared" si="18"/>
        <v>10004436.632591244</v>
      </c>
      <c r="AA34" s="52">
        <f t="shared" si="18"/>
        <v>10004436.632591244</v>
      </c>
      <c r="AB34" s="52">
        <f t="shared" si="18"/>
        <v>10004436.632591244</v>
      </c>
      <c r="AC34" s="52">
        <f t="shared" si="18"/>
        <v>10596311.08054672</v>
      </c>
      <c r="AD34" s="52">
        <f t="shared" si="18"/>
        <v>10596311.08054672</v>
      </c>
      <c r="AE34" s="51">
        <f t="shared" si="18"/>
        <v>10596311.08054672</v>
      </c>
    </row>
    <row r="35" spans="1:31" ht="15.75" outlineLevel="1" thickBot="1" x14ac:dyDescent="0.3">
      <c r="A35" s="50" t="s">
        <v>58</v>
      </c>
      <c r="B35" s="49">
        <f t="shared" ref="B35:AE35" si="19">B34*0.35*Full_Comm_Rate_A</f>
        <v>4422.092348821875</v>
      </c>
      <c r="C35" s="49">
        <f t="shared" si="19"/>
        <v>4422.092348821875</v>
      </c>
      <c r="D35" s="49">
        <f t="shared" si="19"/>
        <v>223921.07015073529</v>
      </c>
      <c r="E35" s="49">
        <f t="shared" si="19"/>
        <v>237091.00881885015</v>
      </c>
      <c r="F35" s="49">
        <f t="shared" si="19"/>
        <v>237091.00881885015</v>
      </c>
      <c r="G35" s="49">
        <f t="shared" si="19"/>
        <v>237091.00881885015</v>
      </c>
      <c r="H35" s="49">
        <f t="shared" si="19"/>
        <v>244071.07631295105</v>
      </c>
      <c r="I35" s="49">
        <f t="shared" si="19"/>
        <v>244071.07631295105</v>
      </c>
      <c r="J35" s="49">
        <f t="shared" si="19"/>
        <v>244071.07631295105</v>
      </c>
      <c r="K35" s="49">
        <f t="shared" si="19"/>
        <v>258450.01535079879</v>
      </c>
      <c r="L35" s="49">
        <f t="shared" si="19"/>
        <v>258450.01535079879</v>
      </c>
      <c r="M35" s="49">
        <f t="shared" si="19"/>
        <v>258450.01535079879</v>
      </c>
      <c r="N35" s="49">
        <f t="shared" si="19"/>
        <v>266070.85304085811</v>
      </c>
      <c r="O35" s="49">
        <f t="shared" si="19"/>
        <v>266070.85304085811</v>
      </c>
      <c r="P35" s="49">
        <f t="shared" si="19"/>
        <v>266070.85304085811</v>
      </c>
      <c r="Q35" s="49">
        <f t="shared" si="19"/>
        <v>281769.77868238027</v>
      </c>
      <c r="R35" s="49">
        <f t="shared" si="19"/>
        <v>281769.77868238027</v>
      </c>
      <c r="S35" s="49">
        <f t="shared" si="19"/>
        <v>281769.77868238027</v>
      </c>
      <c r="T35" s="49">
        <f t="shared" si="19"/>
        <v>290090.20927238703</v>
      </c>
      <c r="U35" s="49">
        <f t="shared" si="19"/>
        <v>290090.20927238703</v>
      </c>
      <c r="V35" s="49">
        <f t="shared" si="19"/>
        <v>290090.20927238703</v>
      </c>
      <c r="W35" s="49">
        <f t="shared" si="19"/>
        <v>307230.29628780088</v>
      </c>
      <c r="X35" s="49">
        <f t="shared" si="19"/>
        <v>307230.29628780088</v>
      </c>
      <c r="Y35" s="49">
        <f t="shared" si="19"/>
        <v>307230.29628780088</v>
      </c>
      <c r="Z35" s="49">
        <f t="shared" si="19"/>
        <v>316314.54240597028</v>
      </c>
      <c r="AA35" s="49">
        <f t="shared" si="19"/>
        <v>316314.54240597028</v>
      </c>
      <c r="AB35" s="49">
        <f t="shared" si="19"/>
        <v>316314.54240597028</v>
      </c>
      <c r="AC35" s="49">
        <f t="shared" si="19"/>
        <v>335028.08940939925</v>
      </c>
      <c r="AD35" s="49">
        <f t="shared" si="19"/>
        <v>335028.08940939925</v>
      </c>
      <c r="AE35" s="48">
        <f t="shared" si="19"/>
        <v>335028.08940939925</v>
      </c>
    </row>
    <row r="36" spans="1:31" outlineLevel="1" x14ac:dyDescent="0.25">
      <c r="A36" s="47" t="s">
        <v>57</v>
      </c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5"/>
    </row>
    <row r="37" spans="1:31" outlineLevel="1" x14ac:dyDescent="0.25">
      <c r="A37" s="43" t="s">
        <v>56</v>
      </c>
      <c r="B37" s="41">
        <f t="shared" ref="B37:AE37" si="20">IF(AND(B28=0,B29=0),(B30*0.35*School_Comm_Rate_A)+(B31*0.35*School_Comm_Rate_A)+(B32*0.35*School_Comm_Rate_A),IF(AND(B28=0,B29&gt;0),(B30*0.35*School_Comm_Rate_A)+(B31*0.35*School_Comm_Rate_A)+(B32*Office_Non_abated*0.35*School_Comm_Rate_A),IF(AND(B28&gt;0,B29=0),(B30*0.35*School_Comm_Rate_A)+(B31*Land_Growth_Non_abated*0.35*School_Comm_Rate_A)+(B32*0.35*School_Comm_Rate_A),IF(AND(B28&gt;0,B29&gt;0),(B30*0.35*School_Comm_Rate_A)+(B31*Land_Growth_Non_abated*0.35*School_Comm_Rate_A)+(B32*Office_Non_abated*0.35*School_Comm_Rate_A),0))))</f>
        <v>3261.8260493787498</v>
      </c>
      <c r="C37" s="41">
        <f t="shared" si="20"/>
        <v>3261.8260493787498</v>
      </c>
      <c r="D37" s="41">
        <f t="shared" si="20"/>
        <v>38881.354989191124</v>
      </c>
      <c r="E37" s="41">
        <f t="shared" si="20"/>
        <v>41018.526725579868</v>
      </c>
      <c r="F37" s="41">
        <f t="shared" si="20"/>
        <v>41018.526725579868</v>
      </c>
      <c r="G37" s="41">
        <f t="shared" si="20"/>
        <v>41018.526725579868</v>
      </c>
      <c r="H37" s="41">
        <f t="shared" si="20"/>
        <v>42151.227745865908</v>
      </c>
      <c r="I37" s="41">
        <f t="shared" si="20"/>
        <v>42151.227745865908</v>
      </c>
      <c r="J37" s="41">
        <f t="shared" si="20"/>
        <v>42151.227745865908</v>
      </c>
      <c r="K37" s="41">
        <f t="shared" si="20"/>
        <v>44484.591847655138</v>
      </c>
      <c r="L37" s="41">
        <f t="shared" si="20"/>
        <v>66969.736828533161</v>
      </c>
      <c r="M37" s="41">
        <f t="shared" si="20"/>
        <v>66969.736828533161</v>
      </c>
      <c r="N37" s="41">
        <f t="shared" si="20"/>
        <v>68880.974151907794</v>
      </c>
      <c r="O37" s="41">
        <f t="shared" si="20"/>
        <v>68880.974151907794</v>
      </c>
      <c r="P37" s="41">
        <f t="shared" si="20"/>
        <v>68880.974151907794</v>
      </c>
      <c r="Q37" s="41">
        <f t="shared" si="20"/>
        <v>72818.123038059537</v>
      </c>
      <c r="R37" s="41">
        <f t="shared" si="20"/>
        <v>72818.123038059537</v>
      </c>
      <c r="S37" s="41">
        <f t="shared" si="20"/>
        <v>207839.17013373401</v>
      </c>
      <c r="T37" s="41">
        <f t="shared" si="20"/>
        <v>213976.49045626467</v>
      </c>
      <c r="U37" s="41">
        <f t="shared" si="20"/>
        <v>213976.49045626467</v>
      </c>
      <c r="V37" s="41">
        <f t="shared" si="20"/>
        <v>213976.49045626467</v>
      </c>
      <c r="W37" s="41">
        <f t="shared" si="20"/>
        <v>226619.37032067782</v>
      </c>
      <c r="X37" s="41">
        <f t="shared" si="20"/>
        <v>226619.37032067782</v>
      </c>
      <c r="Y37" s="41">
        <f t="shared" si="20"/>
        <v>226619.37032067782</v>
      </c>
      <c r="Z37" s="41">
        <f t="shared" si="20"/>
        <v>233320.09664881678</v>
      </c>
      <c r="AA37" s="41">
        <f t="shared" si="20"/>
        <v>233320.09664881678</v>
      </c>
      <c r="AB37" s="41">
        <f t="shared" si="20"/>
        <v>233320.09664881678</v>
      </c>
      <c r="AC37" s="41">
        <f t="shared" si="20"/>
        <v>247123.59288478308</v>
      </c>
      <c r="AD37" s="41">
        <f t="shared" si="20"/>
        <v>247123.59288478308</v>
      </c>
      <c r="AE37" s="40">
        <f t="shared" si="20"/>
        <v>247123.59288478308</v>
      </c>
    </row>
    <row r="38" spans="1:31" outlineLevel="1" x14ac:dyDescent="0.25">
      <c r="A38" s="43" t="s">
        <v>55</v>
      </c>
      <c r="B38" s="41">
        <f t="shared" ref="B38:AE38" si="21">(B30*0.35*Non_School_Comm_Rate_A)</f>
        <v>1160.266299443125</v>
      </c>
      <c r="C38" s="41">
        <f t="shared" si="21"/>
        <v>1160.266299443125</v>
      </c>
      <c r="D38" s="41">
        <f t="shared" si="21"/>
        <v>1160.266299443125</v>
      </c>
      <c r="E38" s="41">
        <f t="shared" si="21"/>
        <v>1160.266299443125</v>
      </c>
      <c r="F38" s="41">
        <f t="shared" si="21"/>
        <v>1160.266299443125</v>
      </c>
      <c r="G38" s="41">
        <f t="shared" si="21"/>
        <v>1160.266299443125</v>
      </c>
      <c r="H38" s="41">
        <f t="shared" si="21"/>
        <v>1160.266299443125</v>
      </c>
      <c r="I38" s="41">
        <f t="shared" si="21"/>
        <v>1160.266299443125</v>
      </c>
      <c r="J38" s="41">
        <f t="shared" si="21"/>
        <v>1160.266299443125</v>
      </c>
      <c r="K38" s="41">
        <f t="shared" si="21"/>
        <v>1160.266299443125</v>
      </c>
      <c r="L38" s="41">
        <f t="shared" si="21"/>
        <v>1160.266299443125</v>
      </c>
      <c r="M38" s="41">
        <f t="shared" si="21"/>
        <v>1160.266299443125</v>
      </c>
      <c r="N38" s="41">
        <f t="shared" si="21"/>
        <v>1160.266299443125</v>
      </c>
      <c r="O38" s="41">
        <f t="shared" si="21"/>
        <v>1160.266299443125</v>
      </c>
      <c r="P38" s="41">
        <f t="shared" si="21"/>
        <v>1160.266299443125</v>
      </c>
      <c r="Q38" s="41">
        <f t="shared" si="21"/>
        <v>1160.266299443125</v>
      </c>
      <c r="R38" s="41">
        <f t="shared" si="21"/>
        <v>1160.266299443125</v>
      </c>
      <c r="S38" s="41">
        <f t="shared" si="21"/>
        <v>1160.266299443125</v>
      </c>
      <c r="T38" s="41">
        <f t="shared" si="21"/>
        <v>1160.266299443125</v>
      </c>
      <c r="U38" s="41">
        <f t="shared" si="21"/>
        <v>1160.266299443125</v>
      </c>
      <c r="V38" s="41">
        <f t="shared" si="21"/>
        <v>1160.266299443125</v>
      </c>
      <c r="W38" s="41">
        <f t="shared" si="21"/>
        <v>1160.266299443125</v>
      </c>
      <c r="X38" s="41">
        <f t="shared" si="21"/>
        <v>1160.266299443125</v>
      </c>
      <c r="Y38" s="41">
        <f t="shared" si="21"/>
        <v>1160.266299443125</v>
      </c>
      <c r="Z38" s="41">
        <f t="shared" si="21"/>
        <v>1160.266299443125</v>
      </c>
      <c r="AA38" s="41">
        <f t="shared" si="21"/>
        <v>1160.266299443125</v>
      </c>
      <c r="AB38" s="41">
        <f t="shared" si="21"/>
        <v>1160.266299443125</v>
      </c>
      <c r="AC38" s="41">
        <f t="shared" si="21"/>
        <v>1160.266299443125</v>
      </c>
      <c r="AD38" s="41">
        <f t="shared" si="21"/>
        <v>1160.266299443125</v>
      </c>
      <c r="AE38" s="40">
        <f t="shared" si="21"/>
        <v>1160.266299443125</v>
      </c>
    </row>
    <row r="39" spans="1:31" outlineLevel="1" x14ac:dyDescent="0.25">
      <c r="A39" s="43" t="s">
        <v>54</v>
      </c>
      <c r="B39" s="41">
        <f t="shared" ref="B39:AE39" si="22">IF(AND(B28=0,B29=0),(B31*0.35*Non_School_Comm_Rate_A)+(B32*0.35*Non_School_Comm_Rate_A),IF(AND(B28=0,B29&gt;0),(B31*0.35*Non_School_Comm_Rate_A)+(B32*Office_Non_abated*0.35*Non_School_Comm_Rate_A),IF(AND(B28&gt;0,B29=0),(B31*Land_Growth_Non_abated*0.35*Non_School_Comm_Rate_A)+(B32*Office_Non_abated*0.35*Non_School_Comm_Rate_A),IF(AND(B28&gt;0,B29&gt;0),(B31*Land_Growth_Non_abated*0.35*Non_School_Comm_Rate_A)+(B32*Office_Non_abated*0.35*Non_School_Comm_Rate_A),0))))</f>
        <v>0</v>
      </c>
      <c r="C39" s="41">
        <f t="shared" si="22"/>
        <v>0</v>
      </c>
      <c r="D39" s="41">
        <f t="shared" si="22"/>
        <v>12670.246176608587</v>
      </c>
      <c r="E39" s="41">
        <f t="shared" si="22"/>
        <v>13430.460947205103</v>
      </c>
      <c r="F39" s="41">
        <f t="shared" si="22"/>
        <v>13430.460947205103</v>
      </c>
      <c r="G39" s="41">
        <f t="shared" si="22"/>
        <v>13430.460947205103</v>
      </c>
      <c r="H39" s="41">
        <f t="shared" si="22"/>
        <v>13833.374775621258</v>
      </c>
      <c r="I39" s="41">
        <f t="shared" si="22"/>
        <v>13833.374775621258</v>
      </c>
      <c r="J39" s="41">
        <f t="shared" si="22"/>
        <v>13833.374775621258</v>
      </c>
      <c r="K39" s="41">
        <f t="shared" si="22"/>
        <v>14663.377262158534</v>
      </c>
      <c r="L39" s="41">
        <f t="shared" si="22"/>
        <v>22661.583041517733</v>
      </c>
      <c r="M39" s="41">
        <f t="shared" si="22"/>
        <v>22661.583041517733</v>
      </c>
      <c r="N39" s="41">
        <f t="shared" si="22"/>
        <v>23341.430532763268</v>
      </c>
      <c r="O39" s="41">
        <f t="shared" si="22"/>
        <v>23341.430532763268</v>
      </c>
      <c r="P39" s="41">
        <f t="shared" si="22"/>
        <v>23341.430532763268</v>
      </c>
      <c r="Q39" s="41">
        <f t="shared" si="22"/>
        <v>24741.916364729066</v>
      </c>
      <c r="R39" s="41">
        <f t="shared" si="22"/>
        <v>24741.916364729066</v>
      </c>
      <c r="S39" s="41">
        <f t="shared" si="22"/>
        <v>72770.342249203139</v>
      </c>
      <c r="T39" s="41">
        <f t="shared" si="22"/>
        <v>74953.45251667923</v>
      </c>
      <c r="U39" s="41">
        <f t="shared" si="22"/>
        <v>74953.45251667923</v>
      </c>
      <c r="V39" s="41">
        <f t="shared" si="22"/>
        <v>74953.45251667923</v>
      </c>
      <c r="W39" s="41">
        <f t="shared" si="22"/>
        <v>79450.659667679982</v>
      </c>
      <c r="X39" s="41">
        <f t="shared" si="22"/>
        <v>79450.659667679982</v>
      </c>
      <c r="Y39" s="41">
        <f t="shared" si="22"/>
        <v>79450.659667679982</v>
      </c>
      <c r="Z39" s="41">
        <f t="shared" si="22"/>
        <v>81834.179457710372</v>
      </c>
      <c r="AA39" s="41">
        <f t="shared" si="22"/>
        <v>81834.179457710372</v>
      </c>
      <c r="AB39" s="41">
        <f t="shared" si="22"/>
        <v>81834.179457710372</v>
      </c>
      <c r="AC39" s="41">
        <f t="shared" si="22"/>
        <v>86744.230225173</v>
      </c>
      <c r="AD39" s="41">
        <f t="shared" si="22"/>
        <v>86744.230225173</v>
      </c>
      <c r="AE39" s="40">
        <f t="shared" si="22"/>
        <v>86744.230225173</v>
      </c>
    </row>
    <row r="40" spans="1:31" outlineLevel="1" x14ac:dyDescent="0.25">
      <c r="A40" s="43" t="s">
        <v>53</v>
      </c>
      <c r="B40" s="41">
        <f t="shared" ref="B40:AE40" si="23">IF(B28&gt;0,B31*0.35*Land_Growth_CDC*Full_Comm_Rate_A,0)</f>
        <v>0</v>
      </c>
      <c r="C40" s="41">
        <f t="shared" si="23"/>
        <v>0</v>
      </c>
      <c r="D40" s="41">
        <f t="shared" si="23"/>
        <v>13169.938668114806</v>
      </c>
      <c r="E40" s="41">
        <f t="shared" si="23"/>
        <v>13960.134988201697</v>
      </c>
      <c r="F40" s="41">
        <f t="shared" si="23"/>
        <v>13960.134988201697</v>
      </c>
      <c r="G40" s="41">
        <f t="shared" si="23"/>
        <v>13960.134988201697</v>
      </c>
      <c r="H40" s="41">
        <f t="shared" si="23"/>
        <v>14378.939037847747</v>
      </c>
      <c r="I40" s="41">
        <f t="shared" si="23"/>
        <v>14378.939037847747</v>
      </c>
      <c r="J40" s="41">
        <f t="shared" si="23"/>
        <v>14378.939037847747</v>
      </c>
      <c r="K40" s="41">
        <f t="shared" si="23"/>
        <v>15241.675380118611</v>
      </c>
      <c r="L40" s="41">
        <f t="shared" si="23"/>
        <v>0</v>
      </c>
      <c r="M40" s="41">
        <f t="shared" si="23"/>
        <v>0</v>
      </c>
      <c r="N40" s="41">
        <f t="shared" si="23"/>
        <v>0</v>
      </c>
      <c r="O40" s="41">
        <f t="shared" si="23"/>
        <v>0</v>
      </c>
      <c r="P40" s="41">
        <f t="shared" si="23"/>
        <v>0</v>
      </c>
      <c r="Q40" s="41">
        <f t="shared" si="23"/>
        <v>0</v>
      </c>
      <c r="R40" s="41">
        <f t="shared" si="23"/>
        <v>0</v>
      </c>
      <c r="S40" s="41">
        <f t="shared" si="23"/>
        <v>0</v>
      </c>
      <c r="T40" s="41">
        <f t="shared" si="23"/>
        <v>0</v>
      </c>
      <c r="U40" s="41">
        <f t="shared" si="23"/>
        <v>0</v>
      </c>
      <c r="V40" s="41">
        <f t="shared" si="23"/>
        <v>0</v>
      </c>
      <c r="W40" s="41">
        <f t="shared" si="23"/>
        <v>0</v>
      </c>
      <c r="X40" s="41">
        <f t="shared" si="23"/>
        <v>0</v>
      </c>
      <c r="Y40" s="41">
        <f t="shared" si="23"/>
        <v>0</v>
      </c>
      <c r="Z40" s="41">
        <f t="shared" si="23"/>
        <v>0</v>
      </c>
      <c r="AA40" s="41">
        <f t="shared" si="23"/>
        <v>0</v>
      </c>
      <c r="AB40" s="41">
        <f t="shared" si="23"/>
        <v>0</v>
      </c>
      <c r="AC40" s="41">
        <f t="shared" si="23"/>
        <v>0</v>
      </c>
      <c r="AD40" s="41">
        <f t="shared" si="23"/>
        <v>0</v>
      </c>
      <c r="AE40" s="40">
        <f t="shared" si="23"/>
        <v>0</v>
      </c>
    </row>
    <row r="41" spans="1:31" outlineLevel="1" x14ac:dyDescent="0.25">
      <c r="A41" s="44" t="s">
        <v>52</v>
      </c>
      <c r="B41" s="41">
        <f t="shared" ref="B41:AE41" si="24">IF(B29&gt;0,B32*0.35*Office_CDC*Full_Comm_Rate_A,0)</f>
        <v>0</v>
      </c>
      <c r="C41" s="41">
        <f t="shared" si="24"/>
        <v>0</v>
      </c>
      <c r="D41" s="41">
        <f t="shared" si="24"/>
        <v>48289.775116420955</v>
      </c>
      <c r="E41" s="41">
        <f t="shared" si="24"/>
        <v>51187.161623406217</v>
      </c>
      <c r="F41" s="41">
        <f t="shared" si="24"/>
        <v>51187.161623406217</v>
      </c>
      <c r="G41" s="41">
        <f t="shared" si="24"/>
        <v>51187.161623406217</v>
      </c>
      <c r="H41" s="41">
        <f t="shared" si="24"/>
        <v>52722.77647210841</v>
      </c>
      <c r="I41" s="41">
        <f t="shared" si="24"/>
        <v>52722.77647210841</v>
      </c>
      <c r="J41" s="41">
        <f t="shared" si="24"/>
        <v>52722.77647210841</v>
      </c>
      <c r="K41" s="41">
        <f t="shared" si="24"/>
        <v>55886.143060434915</v>
      </c>
      <c r="L41" s="41">
        <f t="shared" si="24"/>
        <v>55886.143060434915</v>
      </c>
      <c r="M41" s="41">
        <f t="shared" si="24"/>
        <v>55886.143060434915</v>
      </c>
      <c r="N41" s="41">
        <f t="shared" si="24"/>
        <v>57562.727352247974</v>
      </c>
      <c r="O41" s="41">
        <f t="shared" si="24"/>
        <v>57562.727352247974</v>
      </c>
      <c r="P41" s="41">
        <f t="shared" si="24"/>
        <v>57562.727352247974</v>
      </c>
      <c r="Q41" s="41">
        <f t="shared" si="24"/>
        <v>61016.490993382846</v>
      </c>
      <c r="R41" s="41">
        <f t="shared" si="24"/>
        <v>61016.490993382846</v>
      </c>
      <c r="S41" s="41">
        <f t="shared" si="24"/>
        <v>0</v>
      </c>
      <c r="T41" s="41">
        <f t="shared" si="24"/>
        <v>0</v>
      </c>
      <c r="U41" s="41">
        <f t="shared" si="24"/>
        <v>0</v>
      </c>
      <c r="V41" s="41">
        <f t="shared" si="24"/>
        <v>0</v>
      </c>
      <c r="W41" s="41">
        <f t="shared" si="24"/>
        <v>0</v>
      </c>
      <c r="X41" s="41">
        <f t="shared" si="24"/>
        <v>0</v>
      </c>
      <c r="Y41" s="41">
        <f t="shared" si="24"/>
        <v>0</v>
      </c>
      <c r="Z41" s="41">
        <f t="shared" si="24"/>
        <v>0</v>
      </c>
      <c r="AA41" s="41">
        <f t="shared" si="24"/>
        <v>0</v>
      </c>
      <c r="AB41" s="41">
        <f t="shared" si="24"/>
        <v>0</v>
      </c>
      <c r="AC41" s="41">
        <f t="shared" si="24"/>
        <v>0</v>
      </c>
      <c r="AD41" s="41">
        <f t="shared" si="24"/>
        <v>0</v>
      </c>
      <c r="AE41" s="40">
        <f t="shared" si="24"/>
        <v>0</v>
      </c>
    </row>
    <row r="42" spans="1:31" outlineLevel="1" x14ac:dyDescent="0.25">
      <c r="A42" s="43" t="s">
        <v>51</v>
      </c>
      <c r="B42" s="119">
        <f>IF(SUM(B39:B41)=0,IF(C42=0,IF(SUM(B39:B41)=0,SUM(C39:C41)*0.5,SUM(D39:D41)*0.25),SUM(D39:D41)*0.25),0)</f>
        <v>18532.489990286085</v>
      </c>
      <c r="C42" s="119">
        <f t="shared" ref="C42:AE42" si="25">IF(SUM(C39:C41)=0,IF(D42=0,IF(SUM(C39:C41)=0,SUM(D39:D41)*0.5,SUM(E39:E41)*0.25),SUM(E39:E41)*0.25),0)</f>
        <v>37064.97998057217</v>
      </c>
      <c r="D42" s="41">
        <f t="shared" si="25"/>
        <v>0</v>
      </c>
      <c r="E42" s="41">
        <f t="shared" si="25"/>
        <v>0</v>
      </c>
      <c r="F42" s="41">
        <f t="shared" si="25"/>
        <v>0</v>
      </c>
      <c r="G42" s="41">
        <f t="shared" si="25"/>
        <v>0</v>
      </c>
      <c r="H42" s="41">
        <f t="shared" si="25"/>
        <v>0</v>
      </c>
      <c r="I42" s="41">
        <f t="shared" si="25"/>
        <v>0</v>
      </c>
      <c r="J42" s="41">
        <f t="shared" si="25"/>
        <v>0</v>
      </c>
      <c r="K42" s="41">
        <f t="shared" si="25"/>
        <v>0</v>
      </c>
      <c r="L42" s="41">
        <f t="shared" si="25"/>
        <v>0</v>
      </c>
      <c r="M42" s="41">
        <f t="shared" si="25"/>
        <v>0</v>
      </c>
      <c r="N42" s="41">
        <f t="shared" si="25"/>
        <v>0</v>
      </c>
      <c r="O42" s="41">
        <f t="shared" si="25"/>
        <v>0</v>
      </c>
      <c r="P42" s="41">
        <f t="shared" si="25"/>
        <v>0</v>
      </c>
      <c r="Q42" s="41">
        <f t="shared" si="25"/>
        <v>0</v>
      </c>
      <c r="R42" s="41">
        <f t="shared" si="25"/>
        <v>0</v>
      </c>
      <c r="S42" s="41">
        <f t="shared" si="25"/>
        <v>0</v>
      </c>
      <c r="T42" s="41">
        <f t="shared" si="25"/>
        <v>0</v>
      </c>
      <c r="U42" s="41">
        <f t="shared" si="25"/>
        <v>0</v>
      </c>
      <c r="V42" s="41">
        <f t="shared" si="25"/>
        <v>0</v>
      </c>
      <c r="W42" s="41">
        <f t="shared" si="25"/>
        <v>0</v>
      </c>
      <c r="X42" s="41">
        <f t="shared" si="25"/>
        <v>0</v>
      </c>
      <c r="Y42" s="41">
        <f t="shared" si="25"/>
        <v>0</v>
      </c>
      <c r="Z42" s="41">
        <f t="shared" si="25"/>
        <v>0</v>
      </c>
      <c r="AA42" s="41">
        <f t="shared" si="25"/>
        <v>0</v>
      </c>
      <c r="AB42" s="41">
        <f t="shared" si="25"/>
        <v>0</v>
      </c>
      <c r="AC42" s="41">
        <f t="shared" si="25"/>
        <v>0</v>
      </c>
      <c r="AD42" s="41">
        <f t="shared" si="25"/>
        <v>0</v>
      </c>
      <c r="AE42" s="40">
        <f t="shared" si="25"/>
        <v>0</v>
      </c>
    </row>
    <row r="43" spans="1:31" outlineLevel="1" x14ac:dyDescent="0.25">
      <c r="A43" s="42" t="s">
        <v>50</v>
      </c>
      <c r="B43" s="41">
        <f t="shared" ref="B43:AE43" si="26">IF(B28=0,IF(B29=0,0,(B32*Office_Retained*0.35*Full_Comm_Rate_A)),((B31*Land_Growth_Retained*0.35*Full_Comm_Rate_A)+IF(B29=0,0,(B32*Office_Retained*0.35*Full_Comm_Rate_A))))</f>
        <v>0</v>
      </c>
      <c r="C43" s="41">
        <f t="shared" si="26"/>
        <v>0</v>
      </c>
      <c r="D43" s="41">
        <f t="shared" si="26"/>
        <v>109749.48890095671</v>
      </c>
      <c r="E43" s="41">
        <f t="shared" si="26"/>
        <v>116334.45823501413</v>
      </c>
      <c r="F43" s="41">
        <f t="shared" si="26"/>
        <v>116334.45823501413</v>
      </c>
      <c r="G43" s="41">
        <f t="shared" si="26"/>
        <v>116334.45823501413</v>
      </c>
      <c r="H43" s="41">
        <f t="shared" si="26"/>
        <v>119824.49198206456</v>
      </c>
      <c r="I43" s="41">
        <f t="shared" si="26"/>
        <v>119824.49198206456</v>
      </c>
      <c r="J43" s="41">
        <f t="shared" si="26"/>
        <v>119824.49198206456</v>
      </c>
      <c r="K43" s="41">
        <f t="shared" si="26"/>
        <v>127013.96150098844</v>
      </c>
      <c r="L43" s="41">
        <f t="shared" si="26"/>
        <v>111772.28612086983</v>
      </c>
      <c r="M43" s="41">
        <f t="shared" si="26"/>
        <v>111772.28612086983</v>
      </c>
      <c r="N43" s="41">
        <f t="shared" si="26"/>
        <v>115125.45470449595</v>
      </c>
      <c r="O43" s="41">
        <f t="shared" si="26"/>
        <v>115125.45470449595</v>
      </c>
      <c r="P43" s="41">
        <f t="shared" si="26"/>
        <v>115125.45470449595</v>
      </c>
      <c r="Q43" s="41">
        <f t="shared" si="26"/>
        <v>122032.98198676569</v>
      </c>
      <c r="R43" s="41">
        <f t="shared" si="26"/>
        <v>122032.98198676569</v>
      </c>
      <c r="S43" s="41">
        <f t="shared" si="26"/>
        <v>0</v>
      </c>
      <c r="T43" s="41">
        <f t="shared" si="26"/>
        <v>0</v>
      </c>
      <c r="U43" s="41">
        <f t="shared" si="26"/>
        <v>0</v>
      </c>
      <c r="V43" s="41">
        <f t="shared" si="26"/>
        <v>0</v>
      </c>
      <c r="W43" s="41">
        <f t="shared" si="26"/>
        <v>0</v>
      </c>
      <c r="X43" s="41">
        <f t="shared" si="26"/>
        <v>0</v>
      </c>
      <c r="Y43" s="41">
        <f t="shared" si="26"/>
        <v>0</v>
      </c>
      <c r="Z43" s="41">
        <f t="shared" si="26"/>
        <v>0</v>
      </c>
      <c r="AA43" s="41">
        <f t="shared" si="26"/>
        <v>0</v>
      </c>
      <c r="AB43" s="41">
        <f t="shared" si="26"/>
        <v>0</v>
      </c>
      <c r="AC43" s="41">
        <f t="shared" si="26"/>
        <v>0</v>
      </c>
      <c r="AD43" s="41">
        <f t="shared" si="26"/>
        <v>0</v>
      </c>
      <c r="AE43" s="40">
        <f t="shared" si="26"/>
        <v>0</v>
      </c>
    </row>
    <row r="44" spans="1:31" x14ac:dyDescent="0.25">
      <c r="A44" s="65" t="s">
        <v>49</v>
      </c>
      <c r="B44" s="17">
        <f t="shared" ref="B44:AE44" si="27">SUM(B37:B42)</f>
        <v>22954.582339107961</v>
      </c>
      <c r="C44" s="17">
        <f t="shared" si="27"/>
        <v>41487.072329394046</v>
      </c>
      <c r="D44" s="17">
        <f t="shared" si="27"/>
        <v>114171.5812497786</v>
      </c>
      <c r="E44" s="17">
        <f t="shared" si="27"/>
        <v>120756.55058383601</v>
      </c>
      <c r="F44" s="17">
        <f t="shared" si="27"/>
        <v>120756.55058383601</v>
      </c>
      <c r="G44" s="17">
        <f t="shared" si="27"/>
        <v>120756.55058383601</v>
      </c>
      <c r="H44" s="17">
        <f t="shared" si="27"/>
        <v>124246.58433088646</v>
      </c>
      <c r="I44" s="17">
        <f t="shared" si="27"/>
        <v>124246.58433088646</v>
      </c>
      <c r="J44" s="17">
        <f t="shared" si="27"/>
        <v>124246.58433088646</v>
      </c>
      <c r="K44" s="17">
        <f t="shared" si="27"/>
        <v>131436.05384981033</v>
      </c>
      <c r="L44" s="17">
        <f t="shared" si="27"/>
        <v>146677.72922992893</v>
      </c>
      <c r="M44" s="17">
        <f t="shared" si="27"/>
        <v>146677.72922992893</v>
      </c>
      <c r="N44" s="17">
        <f t="shared" si="27"/>
        <v>150945.39833636218</v>
      </c>
      <c r="O44" s="17">
        <f t="shared" si="27"/>
        <v>150945.39833636218</v>
      </c>
      <c r="P44" s="17">
        <f t="shared" si="27"/>
        <v>150945.39833636218</v>
      </c>
      <c r="Q44" s="17">
        <f t="shared" si="27"/>
        <v>159736.79669561458</v>
      </c>
      <c r="R44" s="17">
        <f t="shared" si="27"/>
        <v>159736.79669561458</v>
      </c>
      <c r="S44" s="17">
        <f t="shared" si="27"/>
        <v>281769.77868238027</v>
      </c>
      <c r="T44" s="17">
        <f t="shared" si="27"/>
        <v>290090.20927238703</v>
      </c>
      <c r="U44" s="17">
        <f t="shared" si="27"/>
        <v>290090.20927238703</v>
      </c>
      <c r="V44" s="17">
        <f t="shared" si="27"/>
        <v>290090.20927238703</v>
      </c>
      <c r="W44" s="17">
        <f t="shared" si="27"/>
        <v>307230.29628780088</v>
      </c>
      <c r="X44" s="17">
        <f t="shared" si="27"/>
        <v>307230.29628780088</v>
      </c>
      <c r="Y44" s="17">
        <f t="shared" si="27"/>
        <v>307230.29628780088</v>
      </c>
      <c r="Z44" s="17">
        <f t="shared" si="27"/>
        <v>316314.54240597028</v>
      </c>
      <c r="AA44" s="17">
        <f t="shared" si="27"/>
        <v>316314.54240597028</v>
      </c>
      <c r="AB44" s="17">
        <f t="shared" si="27"/>
        <v>316314.54240597028</v>
      </c>
      <c r="AC44" s="17">
        <f t="shared" si="27"/>
        <v>335028.0894093992</v>
      </c>
      <c r="AD44" s="17">
        <f t="shared" si="27"/>
        <v>335028.0894093992</v>
      </c>
      <c r="AE44" s="38">
        <f t="shared" si="27"/>
        <v>335028.0894093992</v>
      </c>
    </row>
    <row r="45" spans="1:31" x14ac:dyDescent="0.25">
      <c r="A45" s="37" t="s">
        <v>46</v>
      </c>
      <c r="B45" s="36">
        <f t="shared" ref="B45:AE45" si="28">IF(B46=0,SUM(B39:B42),"ERROR")</f>
        <v>18532.489990286085</v>
      </c>
      <c r="C45" s="36">
        <f t="shared" si="28"/>
        <v>37064.97998057217</v>
      </c>
      <c r="D45" s="36">
        <f t="shared" si="28"/>
        <v>74129.959961144341</v>
      </c>
      <c r="E45" s="36">
        <f t="shared" si="28"/>
        <v>78577.757558813013</v>
      </c>
      <c r="F45" s="36">
        <f t="shared" si="28"/>
        <v>78577.757558813013</v>
      </c>
      <c r="G45" s="36">
        <f t="shared" si="28"/>
        <v>78577.757558813013</v>
      </c>
      <c r="H45" s="36">
        <f t="shared" si="28"/>
        <v>80935.090285577418</v>
      </c>
      <c r="I45" s="36">
        <f t="shared" si="28"/>
        <v>80935.090285577418</v>
      </c>
      <c r="J45" s="36">
        <f t="shared" si="28"/>
        <v>80935.090285577418</v>
      </c>
      <c r="K45" s="36">
        <f t="shared" si="28"/>
        <v>85791.195702712052</v>
      </c>
      <c r="L45" s="36">
        <f t="shared" si="28"/>
        <v>78547.726101952649</v>
      </c>
      <c r="M45" s="36">
        <f t="shared" si="28"/>
        <v>78547.726101952649</v>
      </c>
      <c r="N45" s="36">
        <f t="shared" si="28"/>
        <v>80904.157885011242</v>
      </c>
      <c r="O45" s="36">
        <f t="shared" si="28"/>
        <v>80904.157885011242</v>
      </c>
      <c r="P45" s="36">
        <f t="shared" si="28"/>
        <v>80904.157885011242</v>
      </c>
      <c r="Q45" s="36">
        <f t="shared" si="28"/>
        <v>85758.407358111916</v>
      </c>
      <c r="R45" s="36">
        <f t="shared" si="28"/>
        <v>85758.407358111916</v>
      </c>
      <c r="S45" s="36">
        <f t="shared" si="28"/>
        <v>72770.342249203139</v>
      </c>
      <c r="T45" s="36">
        <f t="shared" si="28"/>
        <v>74953.45251667923</v>
      </c>
      <c r="U45" s="36">
        <f t="shared" si="28"/>
        <v>74953.45251667923</v>
      </c>
      <c r="V45" s="36">
        <f t="shared" si="28"/>
        <v>74953.45251667923</v>
      </c>
      <c r="W45" s="36">
        <f t="shared" si="28"/>
        <v>79450.659667679982</v>
      </c>
      <c r="X45" s="36">
        <f t="shared" si="28"/>
        <v>79450.659667679982</v>
      </c>
      <c r="Y45" s="36">
        <f t="shared" si="28"/>
        <v>79450.659667679982</v>
      </c>
      <c r="Z45" s="36">
        <f t="shared" si="28"/>
        <v>81834.179457710372</v>
      </c>
      <c r="AA45" s="36">
        <f t="shared" si="28"/>
        <v>81834.179457710372</v>
      </c>
      <c r="AB45" s="36">
        <f t="shared" si="28"/>
        <v>81834.179457710372</v>
      </c>
      <c r="AC45" s="36">
        <f t="shared" si="28"/>
        <v>86744.230225173</v>
      </c>
      <c r="AD45" s="36">
        <f t="shared" si="28"/>
        <v>86744.230225173</v>
      </c>
      <c r="AE45" s="35">
        <f t="shared" si="28"/>
        <v>86744.230225173</v>
      </c>
    </row>
    <row r="46" spans="1:31" ht="15.75" thickBot="1" x14ac:dyDescent="0.3">
      <c r="A46" s="34" t="s">
        <v>48</v>
      </c>
      <c r="B46" s="33">
        <f t="shared" ref="B46:AE46" si="29">SUM(B37:B41,B43)-B35</f>
        <v>0</v>
      </c>
      <c r="C46" s="33">
        <f t="shared" si="29"/>
        <v>0</v>
      </c>
      <c r="D46" s="33">
        <f t="shared" si="29"/>
        <v>0</v>
      </c>
      <c r="E46" s="33">
        <f t="shared" si="29"/>
        <v>0</v>
      </c>
      <c r="F46" s="33">
        <f t="shared" si="29"/>
        <v>0</v>
      </c>
      <c r="G46" s="33">
        <f t="shared" si="29"/>
        <v>0</v>
      </c>
      <c r="H46" s="33">
        <f t="shared" si="29"/>
        <v>0</v>
      </c>
      <c r="I46" s="33">
        <f t="shared" si="29"/>
        <v>0</v>
      </c>
      <c r="J46" s="33">
        <f t="shared" si="29"/>
        <v>0</v>
      </c>
      <c r="K46" s="33">
        <f t="shared" si="29"/>
        <v>0</v>
      </c>
      <c r="L46" s="33">
        <f t="shared" si="29"/>
        <v>0</v>
      </c>
      <c r="M46" s="33">
        <f t="shared" si="29"/>
        <v>0</v>
      </c>
      <c r="N46" s="33">
        <f t="shared" si="29"/>
        <v>0</v>
      </c>
      <c r="O46" s="33">
        <f t="shared" si="29"/>
        <v>0</v>
      </c>
      <c r="P46" s="33">
        <f t="shared" si="29"/>
        <v>0</v>
      </c>
      <c r="Q46" s="33">
        <f t="shared" si="29"/>
        <v>0</v>
      </c>
      <c r="R46" s="33">
        <f t="shared" si="29"/>
        <v>0</v>
      </c>
      <c r="S46" s="33">
        <f t="shared" si="29"/>
        <v>0</v>
      </c>
      <c r="T46" s="33">
        <f t="shared" si="29"/>
        <v>0</v>
      </c>
      <c r="U46" s="33">
        <f t="shared" si="29"/>
        <v>0</v>
      </c>
      <c r="V46" s="33">
        <f t="shared" si="29"/>
        <v>0</v>
      </c>
      <c r="W46" s="33">
        <f t="shared" si="29"/>
        <v>0</v>
      </c>
      <c r="X46" s="33">
        <f t="shared" si="29"/>
        <v>0</v>
      </c>
      <c r="Y46" s="33">
        <f t="shared" si="29"/>
        <v>0</v>
      </c>
      <c r="Z46" s="33">
        <f t="shared" si="29"/>
        <v>0</v>
      </c>
      <c r="AA46" s="33">
        <f t="shared" si="29"/>
        <v>0</v>
      </c>
      <c r="AB46" s="33">
        <f t="shared" si="29"/>
        <v>0</v>
      </c>
      <c r="AC46" s="33">
        <f t="shared" si="29"/>
        <v>0</v>
      </c>
      <c r="AD46" s="33">
        <f t="shared" si="29"/>
        <v>0</v>
      </c>
      <c r="AE46" s="32">
        <f t="shared" si="29"/>
        <v>0</v>
      </c>
    </row>
    <row r="47" spans="1:31" ht="7.5" customHeight="1" x14ac:dyDescent="0.25"/>
    <row r="48" spans="1:31" ht="15.75" thickBot="1" x14ac:dyDescent="0.3">
      <c r="A48" s="16" t="str">
        <f>Assumptions!$C$2</f>
        <v>Single-Family Homes</v>
      </c>
      <c r="B48" s="77"/>
      <c r="C48" s="76"/>
      <c r="D48" s="75"/>
      <c r="E48" s="74"/>
      <c r="F48" s="73"/>
      <c r="G48" s="72"/>
      <c r="H48" s="71"/>
      <c r="I48" s="70"/>
      <c r="N48" s="69"/>
    </row>
    <row r="49" spans="1:31" s="87" customFormat="1" ht="15.75" outlineLevel="1" thickBot="1" x14ac:dyDescent="0.3">
      <c r="A49" s="115" t="s">
        <v>62</v>
      </c>
      <c r="B49" s="116">
        <f>Assumptions!D5</f>
        <v>12</v>
      </c>
      <c r="C49" s="63">
        <f t="shared" ref="C49:AE49" si="30">B49</f>
        <v>12</v>
      </c>
      <c r="D49" s="63">
        <f t="shared" si="30"/>
        <v>12</v>
      </c>
      <c r="E49" s="63">
        <f t="shared" si="30"/>
        <v>12</v>
      </c>
      <c r="F49" s="63">
        <f t="shared" si="30"/>
        <v>12</v>
      </c>
      <c r="G49" s="63">
        <f t="shared" si="30"/>
        <v>12</v>
      </c>
      <c r="H49" s="63">
        <f t="shared" si="30"/>
        <v>12</v>
      </c>
      <c r="I49" s="63">
        <f t="shared" si="30"/>
        <v>12</v>
      </c>
      <c r="J49" s="63">
        <f t="shared" si="30"/>
        <v>12</v>
      </c>
      <c r="K49" s="63">
        <f t="shared" si="30"/>
        <v>12</v>
      </c>
      <c r="L49" s="63">
        <f t="shared" si="30"/>
        <v>12</v>
      </c>
      <c r="M49" s="116">
        <f t="shared" si="30"/>
        <v>12</v>
      </c>
      <c r="N49" s="116">
        <f t="shared" si="30"/>
        <v>12</v>
      </c>
      <c r="O49" s="116">
        <f t="shared" si="30"/>
        <v>12</v>
      </c>
      <c r="P49" s="116">
        <f t="shared" si="30"/>
        <v>12</v>
      </c>
      <c r="Q49" s="116">
        <f t="shared" si="30"/>
        <v>12</v>
      </c>
      <c r="R49" s="116">
        <f t="shared" si="30"/>
        <v>12</v>
      </c>
      <c r="S49" s="116">
        <f t="shared" si="30"/>
        <v>12</v>
      </c>
      <c r="T49" s="116">
        <f t="shared" si="30"/>
        <v>12</v>
      </c>
      <c r="U49" s="116">
        <f t="shared" si="30"/>
        <v>12</v>
      </c>
      <c r="V49" s="116">
        <f t="shared" si="30"/>
        <v>12</v>
      </c>
      <c r="W49" s="116">
        <f t="shared" si="30"/>
        <v>12</v>
      </c>
      <c r="X49" s="116">
        <f t="shared" si="30"/>
        <v>12</v>
      </c>
      <c r="Y49" s="116">
        <f t="shared" si="30"/>
        <v>12</v>
      </c>
      <c r="Z49" s="116">
        <f t="shared" si="30"/>
        <v>12</v>
      </c>
      <c r="AA49" s="116">
        <f t="shared" si="30"/>
        <v>12</v>
      </c>
      <c r="AB49" s="116">
        <f t="shared" si="30"/>
        <v>12</v>
      </c>
      <c r="AC49" s="116">
        <f t="shared" si="30"/>
        <v>12</v>
      </c>
      <c r="AD49" s="116">
        <f t="shared" si="30"/>
        <v>12</v>
      </c>
      <c r="AE49" s="117">
        <f t="shared" si="30"/>
        <v>12</v>
      </c>
    </row>
    <row r="50" spans="1:31" s="87" customFormat="1" outlineLevel="1" x14ac:dyDescent="0.25">
      <c r="A50" s="115" t="s">
        <v>63</v>
      </c>
      <c r="B50" s="116">
        <f>IF(Land_Growth_Term&gt;0,1)</f>
        <v>1</v>
      </c>
      <c r="C50" s="63">
        <f t="shared" ref="C50:K50" si="31">IF(Land_Growth_Term&gt;0,B50+1)</f>
        <v>2</v>
      </c>
      <c r="D50" s="63">
        <f t="shared" si="31"/>
        <v>3</v>
      </c>
      <c r="E50" s="63">
        <f t="shared" si="31"/>
        <v>4</v>
      </c>
      <c r="F50" s="63">
        <f t="shared" si="31"/>
        <v>5</v>
      </c>
      <c r="G50" s="63">
        <f t="shared" si="31"/>
        <v>6</v>
      </c>
      <c r="H50" s="63">
        <f t="shared" si="31"/>
        <v>7</v>
      </c>
      <c r="I50" s="63">
        <f t="shared" si="31"/>
        <v>8</v>
      </c>
      <c r="J50" s="63">
        <f t="shared" si="31"/>
        <v>9</v>
      </c>
      <c r="K50" s="63">
        <f t="shared" si="31"/>
        <v>10</v>
      </c>
      <c r="L50" s="63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  <c r="AA50" s="116"/>
      <c r="AB50" s="116"/>
      <c r="AC50" s="116"/>
      <c r="AD50" s="116"/>
      <c r="AE50" s="117"/>
    </row>
    <row r="51" spans="1:31" s="87" customFormat="1" outlineLevel="1" x14ac:dyDescent="0.25">
      <c r="A51" s="42" t="s">
        <v>61</v>
      </c>
      <c r="B51" s="61">
        <f>IF(Assumptions!$D$3&gt;=B$2,0,IF(Assumptions!$D$3+1=B$2,1,IF(Assumptions!$D$3+15&gt;=B$2,A51+1,0)))</f>
        <v>0</v>
      </c>
      <c r="C51" s="61">
        <f>IF(Assumptions!$D$3&gt;=C$2,0,IF(Assumptions!$D$3+1=C$2,1,IF(Assumptions!$D$3+15&gt;=C$2,B51+1,0)))</f>
        <v>0</v>
      </c>
      <c r="D51" s="61">
        <f>IF(Assumptions!$D$3&gt;=D$2,0,IF(Assumptions!$D$3+1=D$2,1,IF(Assumptions!$D$3+15&gt;=D$2,C51+1,0)))</f>
        <v>0</v>
      </c>
      <c r="E51" s="61">
        <f>IF(Assumptions!$D$3&gt;=E$2,0,IF(Assumptions!$D$3+1=E$2,1,IF(Assumptions!$D$3+15&gt;=E$2,D51+1,0)))</f>
        <v>1</v>
      </c>
      <c r="F51" s="61">
        <f>IF(Assumptions!$D$3&gt;=F$2,0,IF(Assumptions!$D$3+1=F$2,1,IF(Assumptions!$D$3+15&gt;=F$2,E51+1,0)))</f>
        <v>2</v>
      </c>
      <c r="G51" s="61">
        <f>IF(Assumptions!$D$3&gt;=G$2,0,IF(Assumptions!$D$3+1=G$2,1,IF(Assumptions!$D$3+15&gt;=G$2,F51+1,0)))</f>
        <v>3</v>
      </c>
      <c r="H51" s="61">
        <f>IF(Assumptions!$D$3&gt;=H$2,0,IF(Assumptions!$D$3+1=H$2,1,IF(Assumptions!$D$3+15&gt;=H$2,G51+1,0)))</f>
        <v>4</v>
      </c>
      <c r="I51" s="61">
        <f>IF(Assumptions!$D$3&gt;=I$2,0,IF(Assumptions!$D$3+1=I$2,1,IF(Assumptions!$D$3+15&gt;=I$2,H51+1,0)))</f>
        <v>5</v>
      </c>
      <c r="J51" s="61">
        <f>IF(Assumptions!$D$3&gt;=J$2,0,IF(Assumptions!$D$3+1=J$2,1,IF(Assumptions!$D$3+15&gt;=J$2,I51+1,0)))</f>
        <v>6</v>
      </c>
      <c r="K51" s="61">
        <f>IF(Assumptions!$D$3&gt;=K$2,0,IF(Assumptions!$D$3+1=K$2,1,IF(Assumptions!$D$3+15&gt;=K$2,J51+1,0)))</f>
        <v>7</v>
      </c>
      <c r="L51" s="61">
        <f>IF(Assumptions!$D$3&gt;=L$2,0,IF(Assumptions!$D$3+1=L$2,1,IF(Assumptions!$D$3+15&gt;=L$2,K51+1,0)))</f>
        <v>8</v>
      </c>
      <c r="M51" s="61">
        <f>IF(Assumptions!$D$3&gt;=M$2,0,IF(Assumptions!$D$3+1=M$2,1,IF(Assumptions!$D$3+15&gt;=M$2,L51+1,0)))</f>
        <v>9</v>
      </c>
      <c r="N51" s="61">
        <f>IF(Assumptions!$D$3&gt;=N$2,0,IF(Assumptions!$D$3+1=N$2,1,IF(Assumptions!$D$3+15&gt;=N$2,M51+1,0)))</f>
        <v>10</v>
      </c>
      <c r="O51" s="61">
        <f>IF(Assumptions!$D$3&gt;=O$2,0,IF(Assumptions!$D$3+1=O$2,1,IF(Assumptions!$D$3+15&gt;=O$2,N51+1,0)))</f>
        <v>11</v>
      </c>
      <c r="P51" s="61">
        <f>IF(Assumptions!$D$3&gt;=P$2,0,IF(Assumptions!$D$3+1=P$2,1,IF(Assumptions!$D$3+15&gt;=P$2,O51+1,0)))</f>
        <v>12</v>
      </c>
      <c r="Q51" s="61">
        <f>IF(Assumptions!$D$3&gt;=Q$2,0,IF(Assumptions!$D$3+1=Q$2,1,IF(Assumptions!$D$3+15&gt;=Q$2,P51+1,0)))</f>
        <v>13</v>
      </c>
      <c r="R51" s="61">
        <f>IF(Assumptions!$D$3&gt;=R$2,0,IF(Assumptions!$D$3+1=R$2,1,IF(Assumptions!$D$3+15&gt;=R$2,Q51+1,0)))</f>
        <v>14</v>
      </c>
      <c r="S51" s="61">
        <f>IF(Assumptions!$D$3&gt;=S$2,0,IF(Assumptions!$D$3+1=S$2,1,IF(Assumptions!$D$3+15&gt;=S$2,R51+1,0)))</f>
        <v>15</v>
      </c>
      <c r="T51" s="61">
        <f>IF(Assumptions!$D$3&gt;=T$2,0,IF(Assumptions!$D$3+1=T$2,1,IF(Assumptions!$D$3+15&gt;=T$2,S51+1,0)))</f>
        <v>0</v>
      </c>
      <c r="U51" s="61">
        <f>IF(Assumptions!$D$3&gt;=U$2,0,IF(Assumptions!$D$3+1=U$2,1,IF(Assumptions!$D$3+15&gt;=U$2,T51+1,0)))</f>
        <v>0</v>
      </c>
      <c r="V51" s="61">
        <f>IF(Assumptions!$D$3&gt;=V$2,0,IF(Assumptions!$D$3+1=V$2,1,IF(Assumptions!$D$3+15&gt;=V$2,U51+1,0)))</f>
        <v>0</v>
      </c>
      <c r="W51" s="61">
        <f>IF(Assumptions!$D$3&gt;=W$2,0,IF(Assumptions!$D$3+1=W$2,1,IF(Assumptions!$D$3+15&gt;=W$2,V51+1,0)))</f>
        <v>0</v>
      </c>
      <c r="X51" s="61">
        <f>IF(Assumptions!$D$3&gt;=X$2,0,IF(Assumptions!$D$3+1=X$2,1,IF(Assumptions!$D$3+15&gt;=X$2,W51+1,0)))</f>
        <v>0</v>
      </c>
      <c r="Y51" s="61">
        <f>IF(Assumptions!$D$3&gt;=Y$2,0,IF(Assumptions!$D$3+1=Y$2,1,IF(Assumptions!$D$3+15&gt;=Y$2,X51+1,0)))</f>
        <v>0</v>
      </c>
      <c r="Z51" s="61">
        <f>IF(Assumptions!$D$3&gt;=Z$2,0,IF(Assumptions!$D$3+1=Z$2,1,IF(Assumptions!$D$3+15&gt;=Z$2,Y51+1,0)))</f>
        <v>0</v>
      </c>
      <c r="AA51" s="61">
        <f>IF(Assumptions!$D$3&gt;=AA$2,0,IF(Assumptions!$D$3+1=AA$2,1,IF(Assumptions!$D$3+15&gt;=AA$2,Z51+1,0)))</f>
        <v>0</v>
      </c>
      <c r="AB51" s="61">
        <f>IF(Assumptions!$D$3&gt;=AB$2,0,IF(Assumptions!$D$3+1=AB$2,1,IF(Assumptions!$D$3+15&gt;=AB$2,AA51+1,0)))</f>
        <v>0</v>
      </c>
      <c r="AC51" s="61">
        <f>IF(Assumptions!$D$3&gt;=AC$2,0,IF(Assumptions!$D$3+1=AC$2,1,IF(Assumptions!$D$3+15&gt;=AC$2,AB51+1,0)))</f>
        <v>0</v>
      </c>
      <c r="AD51" s="61">
        <f>IF(Assumptions!$D$3&gt;=AD$2,0,IF(Assumptions!$D$3+1=AD$2,1,IF(Assumptions!$D$3+15&gt;=AD$2,AC51+1,0)))</f>
        <v>0</v>
      </c>
      <c r="AE51" s="118">
        <f>IF(Assumptions!$D$3&gt;=AE$2,0,IF(Assumptions!$D$3+1=AE$2,1,IF(Assumptions!$D$3+15&gt;=AE$2,AD51+1,0)))</f>
        <v>0</v>
      </c>
    </row>
    <row r="52" spans="1:31" outlineLevel="1" x14ac:dyDescent="0.25">
      <c r="A52" s="59" t="s">
        <v>6</v>
      </c>
      <c r="B52" s="61">
        <f>Residential_Base_Val</f>
        <v>358450</v>
      </c>
      <c r="C52" s="61">
        <f>B52</f>
        <v>358450</v>
      </c>
      <c r="D52" s="61">
        <f t="shared" ref="D52:AE52" si="32">C52</f>
        <v>358450</v>
      </c>
      <c r="E52" s="61">
        <f t="shared" si="32"/>
        <v>358450</v>
      </c>
      <c r="F52" s="61">
        <f t="shared" si="32"/>
        <v>358450</v>
      </c>
      <c r="G52" s="61">
        <f t="shared" si="32"/>
        <v>358450</v>
      </c>
      <c r="H52" s="61">
        <f t="shared" si="32"/>
        <v>358450</v>
      </c>
      <c r="I52" s="61">
        <f t="shared" si="32"/>
        <v>358450</v>
      </c>
      <c r="J52" s="61">
        <f t="shared" si="32"/>
        <v>358450</v>
      </c>
      <c r="K52" s="61">
        <f t="shared" si="32"/>
        <v>358450</v>
      </c>
      <c r="L52" s="61">
        <f t="shared" si="32"/>
        <v>358450</v>
      </c>
      <c r="M52" s="61">
        <f t="shared" si="32"/>
        <v>358450</v>
      </c>
      <c r="N52" s="61">
        <f t="shared" si="32"/>
        <v>358450</v>
      </c>
      <c r="O52" s="61">
        <f t="shared" si="32"/>
        <v>358450</v>
      </c>
      <c r="P52" s="61">
        <f t="shared" si="32"/>
        <v>358450</v>
      </c>
      <c r="Q52" s="61">
        <f t="shared" si="32"/>
        <v>358450</v>
      </c>
      <c r="R52" s="61">
        <f t="shared" si="32"/>
        <v>358450</v>
      </c>
      <c r="S52" s="61">
        <f t="shared" si="32"/>
        <v>358450</v>
      </c>
      <c r="T52" s="61">
        <f t="shared" si="32"/>
        <v>358450</v>
      </c>
      <c r="U52" s="61">
        <f t="shared" si="32"/>
        <v>358450</v>
      </c>
      <c r="V52" s="61">
        <f t="shared" si="32"/>
        <v>358450</v>
      </c>
      <c r="W52" s="61">
        <f t="shared" si="32"/>
        <v>358450</v>
      </c>
      <c r="X52" s="61">
        <f t="shared" si="32"/>
        <v>358450</v>
      </c>
      <c r="Y52" s="61">
        <f t="shared" si="32"/>
        <v>358450</v>
      </c>
      <c r="Z52" s="61">
        <f t="shared" si="32"/>
        <v>358450</v>
      </c>
      <c r="AA52" s="61">
        <f t="shared" si="32"/>
        <v>358450</v>
      </c>
      <c r="AB52" s="61">
        <f t="shared" si="32"/>
        <v>358450</v>
      </c>
      <c r="AC52" s="61">
        <f t="shared" si="32"/>
        <v>358450</v>
      </c>
      <c r="AD52" s="61">
        <f t="shared" si="32"/>
        <v>358450</v>
      </c>
      <c r="AE52" s="60">
        <f t="shared" si="32"/>
        <v>358450</v>
      </c>
    </row>
    <row r="53" spans="1:31" outlineLevel="1" x14ac:dyDescent="0.25">
      <c r="A53" s="59" t="s">
        <v>8</v>
      </c>
      <c r="B53" s="61">
        <f>IF(B$2&lt;=Assumptions!$D$3,0,IF(B$2=Assumptions!$D$3+1,Residential_Land_Growth*(1+B$4),IF(B$2&gt;Assumptions!$D$3,A53*(1+B$3),0)))</f>
        <v>0</v>
      </c>
      <c r="C53" s="61">
        <f>IF(C$2&lt;=Assumptions!$D$3,0,IF(C$2=Assumptions!$D$3+1,Residential_Land_Growth*(1+C$4),IF(C$2&gt;Assumptions!$D$3,B53*(1+C$3),0)))</f>
        <v>0</v>
      </c>
      <c r="D53" s="61">
        <f>IF(D$2&lt;=Assumptions!$D$3,0,IF(D$2=Assumptions!$D$3+1,Residential_Land_Growth*(1+D$4),IF(D$2&gt;Assumptions!$D$3,C53*(1+D$3),0)))</f>
        <v>0</v>
      </c>
      <c r="E53" s="41">
        <f>IF(E$2&lt;=Assumptions!$D$3,0,IF(E$2=Assumptions!$D$3+1,Residential_Land_Growth*(1+E$4),IF(E$2&gt;Assumptions!$D$3,D53*(1+E$3),0)))</f>
        <v>1132181.3148000001</v>
      </c>
      <c r="F53" s="41">
        <f>IF(F$2&lt;=Assumptions!$D$3,0,IF(F$2=Assumptions!$D$3+1,Residential_Land_Growth*(1+F$4),IF(F$2&gt;Assumptions!$D$3,E53*(1+F$3),0)))</f>
        <v>1132181.3148000001</v>
      </c>
      <c r="G53" s="41">
        <f>IF(G$2&lt;=Assumptions!$D$3,0,IF(G$2=Assumptions!$D$3+1,Residential_Land_Growth*(1+G$4),IF(G$2&gt;Assumptions!$D$3,F53*(1+G$3),0)))</f>
        <v>1132181.3148000001</v>
      </c>
      <c r="H53" s="41">
        <f>IF(H$2&lt;=Assumptions!$D$3,0,IF(H$2=Assumptions!$D$3+1,Residential_Land_Growth*(1+H$4),IF(H$2&gt;Assumptions!$D$3,G53*(1+H$3),0)))</f>
        <v>1166146.7542440002</v>
      </c>
      <c r="I53" s="41">
        <f>IF(I$2&lt;=Assumptions!$D$3,0,IF(I$2=Assumptions!$D$3+1,Residential_Land_Growth*(1+I$4),IF(I$2&gt;Assumptions!$D$3,H53*(1+I$3),0)))</f>
        <v>1166146.7542440002</v>
      </c>
      <c r="J53" s="41">
        <f>IF(J$2&lt;=Assumptions!$D$3,0,IF(J$2=Assumptions!$D$3+1,Residential_Land_Growth*(1+J$4),IF(J$2&gt;Assumptions!$D$3,I53*(1+J$3),0)))</f>
        <v>1166146.7542440002</v>
      </c>
      <c r="K53" s="41">
        <f>IF(K$2&lt;=Assumptions!$D$3,0,IF(K$2=Assumptions!$D$3+1,Residential_Land_Growth*(1+K$4),IF(K$2&gt;Assumptions!$D$3,J53*(1+K$3),0)))</f>
        <v>1236115.5594986402</v>
      </c>
      <c r="L53" s="41">
        <f>IF(L$2&lt;=Assumptions!$D$3,0,IF(L$2=Assumptions!$D$3+1,Residential_Land_Growth*(1+L$4),IF(L$2&gt;Assumptions!$D$3,K53*(1+L$3),0)))</f>
        <v>1236115.5594986402</v>
      </c>
      <c r="M53" s="41">
        <f>IF(M$2&lt;=Assumptions!$D$3,0,IF(M$2=Assumptions!$D$3+1,Residential_Land_Growth*(1+M$4),IF(M$2&gt;Assumptions!$D$3,L53*(1+M$3),0)))</f>
        <v>1236115.5594986402</v>
      </c>
      <c r="N53" s="41">
        <f>IF(N$2&lt;=Assumptions!$D$3,0,IF(N$2=Assumptions!$D$3+1,Residential_Land_Growth*(1+N$4),IF(N$2&gt;Assumptions!$D$3,M53*(1+N$3),0)))</f>
        <v>1273199.0262835994</v>
      </c>
      <c r="O53" s="41">
        <f>IF(O$2&lt;=Assumptions!$D$3,0,IF(O$2=Assumptions!$D$3+1,Residential_Land_Growth*(1+O$4),IF(O$2&gt;Assumptions!$D$3,N53*(1+O$3),0)))</f>
        <v>1273199.0262835994</v>
      </c>
      <c r="P53" s="41">
        <f>IF(P$2&lt;=Assumptions!$D$3,0,IF(P$2=Assumptions!$D$3+1,Residential_Land_Growth*(1+P$4),IF(P$2&gt;Assumptions!$D$3,O53*(1+P$3),0)))</f>
        <v>1273199.0262835994</v>
      </c>
      <c r="Q53" s="41">
        <f>IF(Q$2&lt;=Assumptions!$D$3,0,IF(Q$2=Assumptions!$D$3+1,Residential_Land_Growth*(1+Q$4),IF(Q$2&gt;Assumptions!$D$3,P53*(1+Q$3),0)))</f>
        <v>1349590.9678606156</v>
      </c>
      <c r="R53" s="41">
        <f>IF(R$2&lt;=Assumptions!$D$3,0,IF(R$2=Assumptions!$D$3+1,Residential_Land_Growth*(1+R$4),IF(R$2&gt;Assumptions!$D$3,Q53*(1+R$3),0)))</f>
        <v>1349590.9678606156</v>
      </c>
      <c r="S53" s="41">
        <f>IF(S$2&lt;=Assumptions!$D$3,0,IF(S$2=Assumptions!$D$3+1,Residential_Land_Growth*(1+S$4),IF(S$2&gt;Assumptions!$D$3,R53*(1+S$3),0)))</f>
        <v>1349590.9678606156</v>
      </c>
      <c r="T53" s="41">
        <f>IF(T$2&lt;=Assumptions!$D$3,0,IF(T$2=Assumptions!$D$3+1,Residential_Land_Growth*(1+T$4),IF(T$2&gt;Assumptions!$D$3,S53*(1+T$3),0)))</f>
        <v>1390078.6968964341</v>
      </c>
      <c r="U53" s="41">
        <f>IF(U$2&lt;=Assumptions!$D$3,0,IF(U$2=Assumptions!$D$3+1,Residential_Land_Growth*(1+U$4),IF(U$2&gt;Assumptions!$D$3,T53*(1+U$3),0)))</f>
        <v>1390078.6968964341</v>
      </c>
      <c r="V53" s="41">
        <f>IF(V$2&lt;=Assumptions!$D$3,0,IF(V$2=Assumptions!$D$3+1,Residential_Land_Growth*(1+V$4),IF(V$2&gt;Assumptions!$D$3,U53*(1+V$3),0)))</f>
        <v>1390078.6968964341</v>
      </c>
      <c r="W53" s="41">
        <f>IF(W$2&lt;=Assumptions!$D$3,0,IF(W$2=Assumptions!$D$3+1,Residential_Land_Growth*(1+W$4),IF(W$2&gt;Assumptions!$D$3,V53*(1+W$3),0)))</f>
        <v>1473483.4187102201</v>
      </c>
      <c r="X53" s="41">
        <f>IF(X$2&lt;=Assumptions!$D$3,0,IF(X$2=Assumptions!$D$3+1,Residential_Land_Growth*(1+X$4),IF(X$2&gt;Assumptions!$D$3,W53*(1+X$3),0)))</f>
        <v>1473483.4187102201</v>
      </c>
      <c r="Y53" s="41">
        <f>IF(Y$2&lt;=Assumptions!$D$3,0,IF(Y$2=Assumptions!$D$3+1,Residential_Land_Growth*(1+Y$4),IF(Y$2&gt;Assumptions!$D$3,X53*(1+Y$3),0)))</f>
        <v>1473483.4187102201</v>
      </c>
      <c r="Z53" s="41">
        <f>IF(Z$2&lt;=Assumptions!$D$3,0,IF(Z$2=Assumptions!$D$3+1,Residential_Land_Growth*(1+Z$4),IF(Z$2&gt;Assumptions!$D$3,Y53*(1+Z$3),0)))</f>
        <v>1517687.9212715267</v>
      </c>
      <c r="AA53" s="41">
        <f>IF(AA$2&lt;=Assumptions!$D$3,0,IF(AA$2=Assumptions!$D$3+1,Residential_Land_Growth*(1+AA$4),IF(AA$2&gt;Assumptions!$D$3,Z53*(1+AA$3),0)))</f>
        <v>1517687.9212715267</v>
      </c>
      <c r="AB53" s="41">
        <f>IF(AB$2&lt;=Assumptions!$D$3,0,IF(AB$2=Assumptions!$D$3+1,Residential_Land_Growth*(1+AB$4),IF(AB$2&gt;Assumptions!$D$3,AA53*(1+AB$3),0)))</f>
        <v>1517687.9212715267</v>
      </c>
      <c r="AC53" s="41">
        <f>IF(AC$2&lt;=Assumptions!$D$3,0,IF(AC$2=Assumptions!$D$3+1,Residential_Land_Growth*(1+AC$4),IF(AC$2&gt;Assumptions!$D$3,AB53*(1+AC$3),0)))</f>
        <v>1608749.1965478184</v>
      </c>
      <c r="AD53" s="41">
        <f>IF(AD$2&lt;=Assumptions!$D$3,0,IF(AD$2=Assumptions!$D$3+1,Residential_Land_Growth*(1+AD$4),IF(AD$2&gt;Assumptions!$D$3,AC53*(1+AD$3),0)))</f>
        <v>1608749.1965478184</v>
      </c>
      <c r="AE53" s="40">
        <f>IF(AE$2&lt;=Assumptions!$D$3,0,IF(AE$2=Assumptions!$D$3+1,Residential_Land_Growth*(1+AE$4),IF(AE$2&gt;Assumptions!$D$3,AD53*(1+AE$3),0)))</f>
        <v>1608749.1965478184</v>
      </c>
    </row>
    <row r="54" spans="1:31" ht="15.75" outlineLevel="1" thickBot="1" x14ac:dyDescent="0.3">
      <c r="A54" s="68" t="s">
        <v>9</v>
      </c>
      <c r="B54" s="67">
        <f>IF(B$2&lt;=Assumptions!$D$3,0,IF(B$2=Assumptions!$D$3+1,Assumptions!$D$10*(1+B$4),IF(B$2&gt;Assumptions!$D$3,A54*(1+B$3),0)))</f>
        <v>0</v>
      </c>
      <c r="C54" s="67">
        <f>IF(C$2&lt;=Assumptions!$D$3,0,IF(C$2=Assumptions!$D$3+1,Assumptions!$D$10*(1+C$4),IF(C$2&gt;Assumptions!$D$3,B54*(1+C$3),0)))</f>
        <v>0</v>
      </c>
      <c r="D54" s="67">
        <f>IF(D$2&lt;=Assumptions!$D$3,0,IF(D$2=Assumptions!$D$3+1,Assumptions!$D$10*(1+D$4),IF(D$2&gt;Assumptions!$D$3,C54*(1+D$3),0)))</f>
        <v>0</v>
      </c>
      <c r="E54" s="67">
        <f>IF(E$2&lt;=Assumptions!$D$3,0,IF(E$2=Assumptions!$D$3+1,Assumptions!$D$10*(1+E$4),IF(E$2&gt;Assumptions!$D$3,D54*(1+E$3),0)))</f>
        <v>8302662.9752000012</v>
      </c>
      <c r="F54" s="67">
        <f>IF(F$2&lt;=Assumptions!$D$3,0,IF(F$2=Assumptions!$D$3+1,Assumptions!$D$10*(1+F$4),IF(F$2&gt;Assumptions!$D$3,E54*(1+F$3),0)))</f>
        <v>8302662.9752000012</v>
      </c>
      <c r="G54" s="67">
        <f>IF(G$2&lt;=Assumptions!$D$3,0,IF(G$2=Assumptions!$D$3+1,Assumptions!$D$10*(1+G$4),IF(G$2&gt;Assumptions!$D$3,F54*(1+G$3),0)))</f>
        <v>8302662.9752000012</v>
      </c>
      <c r="H54" s="67">
        <f>IF(H$2&lt;=Assumptions!$D$3,0,IF(H$2=Assumptions!$D$3+1,Assumptions!$D$10*(1+H$4),IF(H$2&gt;Assumptions!$D$3,G54*(1+H$3),0)))</f>
        <v>8551742.8644560017</v>
      </c>
      <c r="I54" s="67">
        <f>IF(I$2&lt;=Assumptions!$D$3,0,IF(I$2=Assumptions!$D$3+1,Assumptions!$D$10*(1+I$4),IF(I$2&gt;Assumptions!$D$3,H54*(1+I$3),0)))</f>
        <v>8551742.8644560017</v>
      </c>
      <c r="J54" s="67">
        <f>IF(J$2&lt;=Assumptions!$D$3,0,IF(J$2=Assumptions!$D$3+1,Assumptions!$D$10*(1+J$4),IF(J$2&gt;Assumptions!$D$3,I54*(1+J$3),0)))</f>
        <v>8551742.8644560017</v>
      </c>
      <c r="K54" s="67">
        <f>IF(K$2&lt;=Assumptions!$D$3,0,IF(K$2=Assumptions!$D$3+1,Assumptions!$D$10*(1+K$4),IF(K$2&gt;Assumptions!$D$3,J54*(1+K$3),0)))</f>
        <v>9064847.4363233615</v>
      </c>
      <c r="L54" s="67">
        <f>IF(L$2&lt;=Assumptions!$D$3,0,IF(L$2=Assumptions!$D$3+1,Assumptions!$D$10*(1+L$4),IF(L$2&gt;Assumptions!$D$3,K54*(1+L$3),0)))</f>
        <v>9064847.4363233615</v>
      </c>
      <c r="M54" s="67">
        <f>IF(M$2&lt;=Assumptions!$D$3,0,IF(M$2=Assumptions!$D$3+1,Assumptions!$D$10*(1+M$4),IF(M$2&gt;Assumptions!$D$3,L54*(1+M$3),0)))</f>
        <v>9064847.4363233615</v>
      </c>
      <c r="N54" s="67">
        <f>IF(N$2&lt;=Assumptions!$D$3,0,IF(N$2=Assumptions!$D$3+1,Assumptions!$D$10*(1+N$4),IF(N$2&gt;Assumptions!$D$3,M54*(1+N$3),0)))</f>
        <v>9336792.8594130632</v>
      </c>
      <c r="O54" s="67">
        <f>IF(O$2&lt;=Assumptions!$D$3,0,IF(O$2=Assumptions!$D$3+1,Assumptions!$D$10*(1+O$4),IF(O$2&gt;Assumptions!$D$3,N54*(1+O$3),0)))</f>
        <v>9336792.8594130632</v>
      </c>
      <c r="P54" s="67">
        <f>IF(P$2&lt;=Assumptions!$D$3,0,IF(P$2=Assumptions!$D$3+1,Assumptions!$D$10*(1+P$4),IF(P$2&gt;Assumptions!$D$3,O54*(1+P$3),0)))</f>
        <v>9336792.8594130632</v>
      </c>
      <c r="Q54" s="67">
        <f>IF(Q$2&lt;=Assumptions!$D$3,0,IF(Q$2=Assumptions!$D$3+1,Assumptions!$D$10*(1+Q$4),IF(Q$2&gt;Assumptions!$D$3,P54*(1+Q$3),0)))</f>
        <v>9897000.4309778474</v>
      </c>
      <c r="R54" s="67">
        <f>IF(R$2&lt;=Assumptions!$D$3,0,IF(R$2=Assumptions!$D$3+1,Assumptions!$D$10*(1+R$4),IF(R$2&gt;Assumptions!$D$3,Q54*(1+R$3),0)))</f>
        <v>9897000.4309778474</v>
      </c>
      <c r="S54" s="67">
        <f>IF(S$2&lt;=Assumptions!$D$3,0,IF(S$2=Assumptions!$D$3+1,Assumptions!$D$10*(1+S$4),IF(S$2&gt;Assumptions!$D$3,R54*(1+S$3),0)))</f>
        <v>9897000.4309778474</v>
      </c>
      <c r="T54" s="67">
        <f>IF(T$2&lt;=Assumptions!$D$3,0,IF(T$2=Assumptions!$D$3+1,Assumptions!$D$10*(1+T$4),IF(T$2&gt;Assumptions!$D$3,S54*(1+T$3),0)))</f>
        <v>10193910.443907183</v>
      </c>
      <c r="U54" s="67">
        <f>IF(U$2&lt;=Assumptions!$D$3,0,IF(U$2=Assumptions!$D$3+1,Assumptions!$D$10*(1+U$4),IF(U$2&gt;Assumptions!$D$3,T54*(1+U$3),0)))</f>
        <v>10193910.443907183</v>
      </c>
      <c r="V54" s="67">
        <f>IF(V$2&lt;=Assumptions!$D$3,0,IF(V$2=Assumptions!$D$3+1,Assumptions!$D$10*(1+V$4),IF(V$2&gt;Assumptions!$D$3,U54*(1+V$3),0)))</f>
        <v>10193910.443907183</v>
      </c>
      <c r="W54" s="67">
        <f>IF(W$2&lt;=Assumptions!$D$3,0,IF(W$2=Assumptions!$D$3+1,Assumptions!$D$10*(1+W$4),IF(W$2&gt;Assumptions!$D$3,V54*(1+W$3),0)))</f>
        <v>10805545.070541615</v>
      </c>
      <c r="X54" s="67">
        <f>IF(X$2&lt;=Assumptions!$D$3,0,IF(X$2=Assumptions!$D$3+1,Assumptions!$D$10*(1+X$4),IF(X$2&gt;Assumptions!$D$3,W54*(1+X$3),0)))</f>
        <v>10805545.070541615</v>
      </c>
      <c r="Y54" s="67">
        <f>IF(Y$2&lt;=Assumptions!$D$3,0,IF(Y$2=Assumptions!$D$3+1,Assumptions!$D$10*(1+Y$4),IF(Y$2&gt;Assumptions!$D$3,X54*(1+Y$3),0)))</f>
        <v>10805545.070541615</v>
      </c>
      <c r="Z54" s="67">
        <f>IF(Z$2&lt;=Assumptions!$D$3,0,IF(Z$2=Assumptions!$D$3+1,Assumptions!$D$10*(1+Z$4),IF(Z$2&gt;Assumptions!$D$3,Y54*(1+Z$3),0)))</f>
        <v>11129711.422657864</v>
      </c>
      <c r="AA54" s="67">
        <f>IF(AA$2&lt;=Assumptions!$D$3,0,IF(AA$2=Assumptions!$D$3+1,Assumptions!$D$10*(1+AA$4),IF(AA$2&gt;Assumptions!$D$3,Z54*(1+AA$3),0)))</f>
        <v>11129711.422657864</v>
      </c>
      <c r="AB54" s="67">
        <f>IF(AB$2&lt;=Assumptions!$D$3,0,IF(AB$2=Assumptions!$D$3+1,Assumptions!$D$10*(1+AB$4),IF(AB$2&gt;Assumptions!$D$3,AA54*(1+AB$3),0)))</f>
        <v>11129711.422657864</v>
      </c>
      <c r="AC54" s="67">
        <f>IF(AC$2&lt;=Assumptions!$D$3,0,IF(AC$2=Assumptions!$D$3+1,Assumptions!$D$10*(1+AC$4),IF(AC$2&gt;Assumptions!$D$3,AB54*(1+AC$3),0)))</f>
        <v>11797494.108017337</v>
      </c>
      <c r="AD54" s="67">
        <f>IF(AD$2&lt;=Assumptions!$D$3,0,IF(AD$2=Assumptions!$D$3+1,Assumptions!$D$10*(1+AD$4),IF(AD$2&gt;Assumptions!$D$3,AC54*(1+AD$3),0)))</f>
        <v>11797494.108017337</v>
      </c>
      <c r="AE54" s="66">
        <f>IF(AE$2&lt;=Assumptions!$D$3,0,IF(AE$2=Assumptions!$D$3+1,Assumptions!$D$10*(1+AE$4),IF(AE$2&gt;Assumptions!$D$3,AD54*(1+AE$3),0)))</f>
        <v>11797494.108017337</v>
      </c>
    </row>
    <row r="55" spans="1:31" outlineLevel="1" x14ac:dyDescent="0.25">
      <c r="A55" s="56" t="s">
        <v>60</v>
      </c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4"/>
    </row>
    <row r="56" spans="1:31" outlineLevel="1" x14ac:dyDescent="0.25">
      <c r="A56" s="53" t="s">
        <v>59</v>
      </c>
      <c r="B56" s="52">
        <f t="shared" ref="B56:AE56" si="33">SUM(B52:B54)</f>
        <v>358450</v>
      </c>
      <c r="C56" s="52">
        <f t="shared" si="33"/>
        <v>358450</v>
      </c>
      <c r="D56" s="52">
        <f t="shared" si="33"/>
        <v>358450</v>
      </c>
      <c r="E56" s="52">
        <f t="shared" si="33"/>
        <v>9793294.290000001</v>
      </c>
      <c r="F56" s="52">
        <f t="shared" si="33"/>
        <v>9793294.290000001</v>
      </c>
      <c r="G56" s="52">
        <f t="shared" si="33"/>
        <v>9793294.290000001</v>
      </c>
      <c r="H56" s="52">
        <f t="shared" si="33"/>
        <v>10076339.618700001</v>
      </c>
      <c r="I56" s="52">
        <f t="shared" si="33"/>
        <v>10076339.618700001</v>
      </c>
      <c r="J56" s="52">
        <f t="shared" si="33"/>
        <v>10076339.618700001</v>
      </c>
      <c r="K56" s="52">
        <f t="shared" si="33"/>
        <v>10659412.995822001</v>
      </c>
      <c r="L56" s="52">
        <f t="shared" si="33"/>
        <v>10659412.995822001</v>
      </c>
      <c r="M56" s="52">
        <f t="shared" si="33"/>
        <v>10659412.995822001</v>
      </c>
      <c r="N56" s="52">
        <f t="shared" si="33"/>
        <v>10968441.885696663</v>
      </c>
      <c r="O56" s="52">
        <f t="shared" si="33"/>
        <v>10968441.885696663</v>
      </c>
      <c r="P56" s="52">
        <f t="shared" si="33"/>
        <v>10968441.885696663</v>
      </c>
      <c r="Q56" s="52">
        <f t="shared" si="33"/>
        <v>11605041.398838462</v>
      </c>
      <c r="R56" s="52">
        <f t="shared" si="33"/>
        <v>11605041.398838462</v>
      </c>
      <c r="S56" s="52">
        <f t="shared" si="33"/>
        <v>11605041.398838462</v>
      </c>
      <c r="T56" s="52">
        <f t="shared" si="33"/>
        <v>11942439.140803616</v>
      </c>
      <c r="U56" s="52">
        <f t="shared" si="33"/>
        <v>11942439.140803616</v>
      </c>
      <c r="V56" s="52">
        <f t="shared" si="33"/>
        <v>11942439.140803616</v>
      </c>
      <c r="W56" s="52">
        <f t="shared" si="33"/>
        <v>12637478.489251835</v>
      </c>
      <c r="X56" s="52">
        <f t="shared" si="33"/>
        <v>12637478.489251835</v>
      </c>
      <c r="Y56" s="52">
        <f t="shared" si="33"/>
        <v>12637478.489251835</v>
      </c>
      <c r="Z56" s="52">
        <f t="shared" si="33"/>
        <v>13005849.343929391</v>
      </c>
      <c r="AA56" s="52">
        <f t="shared" si="33"/>
        <v>13005849.343929391</v>
      </c>
      <c r="AB56" s="52">
        <f t="shared" si="33"/>
        <v>13005849.343929391</v>
      </c>
      <c r="AC56" s="52">
        <f t="shared" si="33"/>
        <v>13764693.304565154</v>
      </c>
      <c r="AD56" s="52">
        <f t="shared" si="33"/>
        <v>13764693.304565154</v>
      </c>
      <c r="AE56" s="51">
        <f t="shared" si="33"/>
        <v>13764693.304565154</v>
      </c>
    </row>
    <row r="57" spans="1:31" ht="15.75" outlineLevel="1" thickBot="1" x14ac:dyDescent="0.3">
      <c r="A57" s="50" t="s">
        <v>58</v>
      </c>
      <c r="B57" s="49">
        <f t="shared" ref="B57:AE57" si="34">B56*0.35*Full_Res_Rate_A</f>
        <v>10098.45907861</v>
      </c>
      <c r="C57" s="49">
        <f t="shared" si="34"/>
        <v>10098.45907861</v>
      </c>
      <c r="D57" s="49">
        <f t="shared" si="34"/>
        <v>10098.45907861</v>
      </c>
      <c r="E57" s="49">
        <f t="shared" si="34"/>
        <v>275902.30613014364</v>
      </c>
      <c r="F57" s="49">
        <f t="shared" si="34"/>
        <v>275902.30613014364</v>
      </c>
      <c r="G57" s="49">
        <f t="shared" si="34"/>
        <v>275902.30613014364</v>
      </c>
      <c r="H57" s="49">
        <f t="shared" si="34"/>
        <v>283876.4215416896</v>
      </c>
      <c r="I57" s="49">
        <f t="shared" si="34"/>
        <v>283876.4215416896</v>
      </c>
      <c r="J57" s="49">
        <f t="shared" si="34"/>
        <v>283876.4215416896</v>
      </c>
      <c r="K57" s="49">
        <f t="shared" si="34"/>
        <v>300303.09928947437</v>
      </c>
      <c r="L57" s="49">
        <f t="shared" si="34"/>
        <v>300303.09928947437</v>
      </c>
      <c r="M57" s="49">
        <f t="shared" si="34"/>
        <v>300303.09928947437</v>
      </c>
      <c r="N57" s="49">
        <f t="shared" si="34"/>
        <v>309009.23849580035</v>
      </c>
      <c r="O57" s="49">
        <f t="shared" si="34"/>
        <v>309009.23849580035</v>
      </c>
      <c r="P57" s="49">
        <f t="shared" si="34"/>
        <v>309009.23849580035</v>
      </c>
      <c r="Q57" s="49">
        <f t="shared" si="34"/>
        <v>326943.8852608318</v>
      </c>
      <c r="R57" s="49">
        <f t="shared" si="34"/>
        <v>326943.8852608318</v>
      </c>
      <c r="S57" s="49">
        <f t="shared" si="34"/>
        <v>326943.8852608318</v>
      </c>
      <c r="T57" s="49">
        <f t="shared" si="34"/>
        <v>336449.24804629845</v>
      </c>
      <c r="U57" s="49">
        <f t="shared" si="34"/>
        <v>336449.24804629845</v>
      </c>
      <c r="V57" s="49">
        <f t="shared" si="34"/>
        <v>336449.24804629845</v>
      </c>
      <c r="W57" s="49">
        <f t="shared" si="34"/>
        <v>356030.29538435978</v>
      </c>
      <c r="X57" s="49">
        <f t="shared" si="34"/>
        <v>356030.29538435978</v>
      </c>
      <c r="Y57" s="49">
        <f t="shared" si="34"/>
        <v>356030.29538435978</v>
      </c>
      <c r="Z57" s="49">
        <f t="shared" si="34"/>
        <v>366408.2504735323</v>
      </c>
      <c r="AA57" s="49">
        <f t="shared" si="34"/>
        <v>366408.2504735323</v>
      </c>
      <c r="AB57" s="49">
        <f t="shared" si="34"/>
        <v>366408.2504735323</v>
      </c>
      <c r="AC57" s="49">
        <f t="shared" si="34"/>
        <v>387786.83795722766</v>
      </c>
      <c r="AD57" s="49">
        <f t="shared" si="34"/>
        <v>387786.83795722766</v>
      </c>
      <c r="AE57" s="48">
        <f t="shared" si="34"/>
        <v>387786.83795722766</v>
      </c>
    </row>
    <row r="58" spans="1:31" outlineLevel="1" x14ac:dyDescent="0.25">
      <c r="A58" s="47" t="s">
        <v>57</v>
      </c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5"/>
    </row>
    <row r="59" spans="1:31" outlineLevel="1" x14ac:dyDescent="0.25">
      <c r="A59" s="43" t="s">
        <v>56</v>
      </c>
      <c r="B59" s="41">
        <f t="shared" ref="B59:AE59" si="35">IF(AND(B50=0,B51=0),(B52*0.35*School_Res_Rate_A)+(B53*0.35*School_Res_Rate_A)+(B54*0.35*School_Res_Rate_A),IF(AND(B50=0,B51&gt;0),(B52*0.35*School_Res_Rate_A)+(B53*0.35*School_Res_Rate_A)+(B54*Residential_Non_abated*0.35*School_Res_Rate_A),IF(AND(B50&gt;0,B51=0),(B52*0.35*School_Res_Rate_A)+(B53*Land_Growth_Non_abated*0.35*School_Res_Rate_A)+(B54*0.35*School_Res_Rate_A),IF(AND(B50&gt;0,B51&gt;0),(B52*0.35*School_Res_Rate_A)+(B53*Land_Growth_Non_abated*0.35*School_Res_Rate_A)+(B54*Residential_Non_abated*0.35*School_Res_Rate_A),0))))</f>
        <v>7248.0230267199995</v>
      </c>
      <c r="C59" s="41">
        <f t="shared" si="35"/>
        <v>7248.0230267199995</v>
      </c>
      <c r="D59" s="41">
        <f t="shared" si="35"/>
        <v>7248.0230267199995</v>
      </c>
      <c r="E59" s="41">
        <f t="shared" si="35"/>
        <v>7248.0230267199995</v>
      </c>
      <c r="F59" s="41">
        <f t="shared" si="35"/>
        <v>7248.0230267199995</v>
      </c>
      <c r="G59" s="41">
        <f t="shared" si="35"/>
        <v>7248.0230267199995</v>
      </c>
      <c r="H59" s="41">
        <f t="shared" si="35"/>
        <v>7248.0230267199995</v>
      </c>
      <c r="I59" s="41">
        <f t="shared" si="35"/>
        <v>7248.0230267199995</v>
      </c>
      <c r="J59" s="41">
        <f t="shared" si="35"/>
        <v>7248.0230267199995</v>
      </c>
      <c r="K59" s="41">
        <f t="shared" si="35"/>
        <v>7248.0230267199995</v>
      </c>
      <c r="L59" s="41">
        <f t="shared" si="35"/>
        <v>32242.845286262531</v>
      </c>
      <c r="M59" s="41">
        <f t="shared" si="35"/>
        <v>32242.845286262531</v>
      </c>
      <c r="N59" s="41">
        <f t="shared" si="35"/>
        <v>32992.689954048808</v>
      </c>
      <c r="O59" s="41">
        <f t="shared" si="35"/>
        <v>32992.689954048808</v>
      </c>
      <c r="P59" s="41">
        <f t="shared" si="35"/>
        <v>32992.689954048808</v>
      </c>
      <c r="Q59" s="41">
        <f t="shared" si="35"/>
        <v>34537.369969688545</v>
      </c>
      <c r="R59" s="41">
        <f t="shared" si="35"/>
        <v>34537.369969688545</v>
      </c>
      <c r="S59" s="41">
        <f t="shared" si="35"/>
        <v>34537.369969688545</v>
      </c>
      <c r="T59" s="41">
        <f t="shared" si="35"/>
        <v>241481.58428719998</v>
      </c>
      <c r="U59" s="41">
        <f t="shared" si="35"/>
        <v>241481.58428719998</v>
      </c>
      <c r="V59" s="41">
        <f t="shared" si="35"/>
        <v>241481.58428719998</v>
      </c>
      <c r="W59" s="41">
        <f t="shared" si="35"/>
        <v>255535.59796282879</v>
      </c>
      <c r="X59" s="41">
        <f t="shared" si="35"/>
        <v>255535.59796282879</v>
      </c>
      <c r="Y59" s="41">
        <f t="shared" si="35"/>
        <v>255535.59796282879</v>
      </c>
      <c r="Z59" s="41">
        <f t="shared" si="35"/>
        <v>262984.22521091206</v>
      </c>
      <c r="AA59" s="41">
        <f t="shared" si="35"/>
        <v>262984.22521091206</v>
      </c>
      <c r="AB59" s="41">
        <f t="shared" si="35"/>
        <v>262984.22521091206</v>
      </c>
      <c r="AC59" s="41">
        <f t="shared" si="35"/>
        <v>278328.3973419636</v>
      </c>
      <c r="AD59" s="41">
        <f t="shared" si="35"/>
        <v>278328.3973419636</v>
      </c>
      <c r="AE59" s="40">
        <f t="shared" si="35"/>
        <v>278328.3973419636</v>
      </c>
    </row>
    <row r="60" spans="1:31" outlineLevel="1" x14ac:dyDescent="0.25">
      <c r="A60" s="43" t="s">
        <v>55</v>
      </c>
      <c r="B60" s="58">
        <f t="shared" ref="B60:AE60" si="36">(B52*0.35*Non_School_Res_Rate_A)</f>
        <v>2850.4360518899994</v>
      </c>
      <c r="C60" s="58">
        <f t="shared" si="36"/>
        <v>2850.4360518899994</v>
      </c>
      <c r="D60" s="41">
        <f t="shared" si="36"/>
        <v>2850.4360518899994</v>
      </c>
      <c r="E60" s="41">
        <f t="shared" si="36"/>
        <v>2850.4360518899994</v>
      </c>
      <c r="F60" s="41">
        <f t="shared" si="36"/>
        <v>2850.4360518899994</v>
      </c>
      <c r="G60" s="41">
        <f t="shared" si="36"/>
        <v>2850.4360518899994</v>
      </c>
      <c r="H60" s="41">
        <f t="shared" si="36"/>
        <v>2850.4360518899994</v>
      </c>
      <c r="I60" s="41">
        <f t="shared" si="36"/>
        <v>2850.4360518899994</v>
      </c>
      <c r="J60" s="41">
        <f t="shared" si="36"/>
        <v>2850.4360518899994</v>
      </c>
      <c r="K60" s="41">
        <f t="shared" si="36"/>
        <v>2850.4360518899994</v>
      </c>
      <c r="L60" s="41">
        <f t="shared" si="36"/>
        <v>2850.4360518899994</v>
      </c>
      <c r="M60" s="41">
        <f t="shared" si="36"/>
        <v>2850.4360518899994</v>
      </c>
      <c r="N60" s="41">
        <f t="shared" si="36"/>
        <v>2850.4360518899994</v>
      </c>
      <c r="O60" s="41">
        <f t="shared" si="36"/>
        <v>2850.4360518899994</v>
      </c>
      <c r="P60" s="41">
        <f t="shared" si="36"/>
        <v>2850.4360518899994</v>
      </c>
      <c r="Q60" s="41">
        <f t="shared" si="36"/>
        <v>2850.4360518899994</v>
      </c>
      <c r="R60" s="41">
        <f t="shared" si="36"/>
        <v>2850.4360518899994</v>
      </c>
      <c r="S60" s="41">
        <f t="shared" si="36"/>
        <v>2850.4360518899994</v>
      </c>
      <c r="T60" s="41">
        <f t="shared" si="36"/>
        <v>2850.4360518899994</v>
      </c>
      <c r="U60" s="41">
        <f t="shared" si="36"/>
        <v>2850.4360518899994</v>
      </c>
      <c r="V60" s="41">
        <f t="shared" si="36"/>
        <v>2850.4360518899994</v>
      </c>
      <c r="W60" s="41">
        <f t="shared" si="36"/>
        <v>2850.4360518899994</v>
      </c>
      <c r="X60" s="41">
        <f t="shared" si="36"/>
        <v>2850.4360518899994</v>
      </c>
      <c r="Y60" s="41">
        <f t="shared" si="36"/>
        <v>2850.4360518899994</v>
      </c>
      <c r="Z60" s="41">
        <f t="shared" si="36"/>
        <v>2850.4360518899994</v>
      </c>
      <c r="AA60" s="41">
        <f t="shared" si="36"/>
        <v>2850.4360518899994</v>
      </c>
      <c r="AB60" s="41">
        <f t="shared" si="36"/>
        <v>2850.4360518899994</v>
      </c>
      <c r="AC60" s="41">
        <f t="shared" si="36"/>
        <v>2850.4360518899994</v>
      </c>
      <c r="AD60" s="41">
        <f t="shared" si="36"/>
        <v>2850.4360518899994</v>
      </c>
      <c r="AE60" s="40">
        <f t="shared" si="36"/>
        <v>2850.4360518899994</v>
      </c>
    </row>
    <row r="61" spans="1:31" outlineLevel="1" x14ac:dyDescent="0.25">
      <c r="A61" s="43" t="s">
        <v>54</v>
      </c>
      <c r="B61" s="41">
        <f t="shared" ref="B61:AE61" si="37">IF(AND(B50=0,B51=0),(B53*0.35*Non_School_Res_Rate_A)+(B54*0.35*Non_School_Res_Rate_A),IF(AND(B50=0,B51&gt;0),(B53*0.35*Non_School_Res_Rate_A)+(B54*Residential_Non_abated*0.35*Non_School_Res_Rate_A),IF(AND(B50&gt;0,B51=0),(B53*Land_Growth_Non_abated*0.35*Non_School_Res_Rate_A)+(B54*Residential_Non_abated*0.35*Non_School_Res_Rate_A),IF(AND(B50&gt;0,B51&gt;0),(B53*Land_Growth_Non_abated*0.35*Non_School_Res_Rate_A)+(B54*Residential_Non_abated*0.35*Non_School_Res_Rate_A),0))))</f>
        <v>0</v>
      </c>
      <c r="C61" s="41">
        <f t="shared" si="37"/>
        <v>0</v>
      </c>
      <c r="D61" s="41">
        <f t="shared" si="37"/>
        <v>0</v>
      </c>
      <c r="E61" s="41">
        <f t="shared" si="37"/>
        <v>0</v>
      </c>
      <c r="F61" s="41">
        <f t="shared" si="37"/>
        <v>0</v>
      </c>
      <c r="G61" s="41">
        <f t="shared" si="37"/>
        <v>0</v>
      </c>
      <c r="H61" s="41">
        <f t="shared" si="37"/>
        <v>0</v>
      </c>
      <c r="I61" s="41">
        <f t="shared" si="37"/>
        <v>0</v>
      </c>
      <c r="J61" s="41">
        <f t="shared" si="37"/>
        <v>0</v>
      </c>
      <c r="K61" s="41">
        <f t="shared" si="37"/>
        <v>0</v>
      </c>
      <c r="L61" s="41">
        <f t="shared" si="37"/>
        <v>9829.7345657612004</v>
      </c>
      <c r="M61" s="41">
        <f t="shared" si="37"/>
        <v>9829.7345657612004</v>
      </c>
      <c r="N61" s="41">
        <f t="shared" si="37"/>
        <v>10124.626602734035</v>
      </c>
      <c r="O61" s="41">
        <f t="shared" si="37"/>
        <v>10124.626602734035</v>
      </c>
      <c r="P61" s="41">
        <f t="shared" si="37"/>
        <v>10124.626602734035</v>
      </c>
      <c r="Q61" s="41">
        <f t="shared" si="37"/>
        <v>10732.10419889808</v>
      </c>
      <c r="R61" s="41">
        <f t="shared" si="37"/>
        <v>10732.10419889808</v>
      </c>
      <c r="S61" s="41">
        <f t="shared" si="37"/>
        <v>10732.10419889808</v>
      </c>
      <c r="T61" s="41">
        <f t="shared" si="37"/>
        <v>92117.227707208513</v>
      </c>
      <c r="U61" s="41">
        <f t="shared" si="37"/>
        <v>92117.227707208513</v>
      </c>
      <c r="V61" s="41">
        <f t="shared" si="37"/>
        <v>92117.227707208513</v>
      </c>
      <c r="W61" s="41">
        <f t="shared" si="37"/>
        <v>97644.261369641026</v>
      </c>
      <c r="X61" s="41">
        <f t="shared" si="37"/>
        <v>97644.261369641026</v>
      </c>
      <c r="Y61" s="41">
        <f t="shared" si="37"/>
        <v>97644.261369641026</v>
      </c>
      <c r="Z61" s="41">
        <f t="shared" si="37"/>
        <v>100573.58921073026</v>
      </c>
      <c r="AA61" s="41">
        <f t="shared" si="37"/>
        <v>100573.58921073026</v>
      </c>
      <c r="AB61" s="41">
        <f t="shared" si="37"/>
        <v>100573.58921073026</v>
      </c>
      <c r="AC61" s="41">
        <f t="shared" si="37"/>
        <v>106608.0045633741</v>
      </c>
      <c r="AD61" s="41">
        <f t="shared" si="37"/>
        <v>106608.0045633741</v>
      </c>
      <c r="AE61" s="40">
        <f t="shared" si="37"/>
        <v>106608.0045633741</v>
      </c>
    </row>
    <row r="62" spans="1:31" outlineLevel="1" x14ac:dyDescent="0.25">
      <c r="A62" s="44" t="s">
        <v>53</v>
      </c>
      <c r="B62" s="41">
        <f t="shared" ref="B62:AE62" si="38">IF(B50&gt;0,B53*0.35*Land_Growth_CDC*Full_Res_Rate_A,0)</f>
        <v>0</v>
      </c>
      <c r="C62" s="41">
        <f t="shared" si="38"/>
        <v>0</v>
      </c>
      <c r="D62" s="41">
        <f t="shared" si="38"/>
        <v>0</v>
      </c>
      <c r="E62" s="41">
        <f t="shared" si="38"/>
        <v>15948.230823092015</v>
      </c>
      <c r="F62" s="41">
        <f t="shared" si="38"/>
        <v>15948.230823092015</v>
      </c>
      <c r="G62" s="41">
        <f t="shared" si="38"/>
        <v>15948.230823092015</v>
      </c>
      <c r="H62" s="41">
        <f t="shared" si="38"/>
        <v>16426.677747784779</v>
      </c>
      <c r="I62" s="41">
        <f t="shared" si="38"/>
        <v>16426.677747784779</v>
      </c>
      <c r="J62" s="41">
        <f t="shared" si="38"/>
        <v>16426.677747784779</v>
      </c>
      <c r="K62" s="41">
        <f t="shared" si="38"/>
        <v>17412.278412651864</v>
      </c>
      <c r="L62" s="41">
        <f t="shared" si="38"/>
        <v>0</v>
      </c>
      <c r="M62" s="41">
        <f t="shared" si="38"/>
        <v>0</v>
      </c>
      <c r="N62" s="41">
        <f t="shared" si="38"/>
        <v>0</v>
      </c>
      <c r="O62" s="41">
        <f t="shared" si="38"/>
        <v>0</v>
      </c>
      <c r="P62" s="41">
        <f t="shared" si="38"/>
        <v>0</v>
      </c>
      <c r="Q62" s="41">
        <f t="shared" si="38"/>
        <v>0</v>
      </c>
      <c r="R62" s="41">
        <f t="shared" si="38"/>
        <v>0</v>
      </c>
      <c r="S62" s="41">
        <f t="shared" si="38"/>
        <v>0</v>
      </c>
      <c r="T62" s="41">
        <f t="shared" si="38"/>
        <v>0</v>
      </c>
      <c r="U62" s="41">
        <f t="shared" si="38"/>
        <v>0</v>
      </c>
      <c r="V62" s="41">
        <f t="shared" si="38"/>
        <v>0</v>
      </c>
      <c r="W62" s="41">
        <f t="shared" si="38"/>
        <v>0</v>
      </c>
      <c r="X62" s="41">
        <f t="shared" si="38"/>
        <v>0</v>
      </c>
      <c r="Y62" s="41">
        <f t="shared" si="38"/>
        <v>0</v>
      </c>
      <c r="Z62" s="41">
        <f t="shared" si="38"/>
        <v>0</v>
      </c>
      <c r="AA62" s="41">
        <f t="shared" si="38"/>
        <v>0</v>
      </c>
      <c r="AB62" s="41">
        <f t="shared" si="38"/>
        <v>0</v>
      </c>
      <c r="AC62" s="41">
        <f t="shared" si="38"/>
        <v>0</v>
      </c>
      <c r="AD62" s="41">
        <f t="shared" si="38"/>
        <v>0</v>
      </c>
      <c r="AE62" s="40">
        <f t="shared" si="38"/>
        <v>0</v>
      </c>
    </row>
    <row r="63" spans="1:31" outlineLevel="1" x14ac:dyDescent="0.25">
      <c r="A63" s="44" t="s">
        <v>52</v>
      </c>
      <c r="B63" s="41">
        <f t="shared" ref="B63:AE63" si="39">IF(B51&gt;0,B54*0.35*Residential_CDC*Full_Res_Rate_A,0)</f>
        <v>0</v>
      </c>
      <c r="C63" s="41">
        <f t="shared" si="39"/>
        <v>0</v>
      </c>
      <c r="D63" s="41">
        <f t="shared" si="39"/>
        <v>0</v>
      </c>
      <c r="E63" s="41">
        <f t="shared" si="39"/>
        <v>116953.6927026748</v>
      </c>
      <c r="F63" s="41">
        <f t="shared" si="39"/>
        <v>116953.6927026748</v>
      </c>
      <c r="G63" s="41">
        <f t="shared" si="39"/>
        <v>116953.6927026748</v>
      </c>
      <c r="H63" s="41">
        <f t="shared" si="39"/>
        <v>120462.30348375505</v>
      </c>
      <c r="I63" s="41">
        <f t="shared" si="39"/>
        <v>120462.30348375505</v>
      </c>
      <c r="J63" s="41">
        <f t="shared" si="39"/>
        <v>120462.30348375505</v>
      </c>
      <c r="K63" s="41">
        <f t="shared" si="39"/>
        <v>127690.04169278035</v>
      </c>
      <c r="L63" s="41">
        <f t="shared" si="39"/>
        <v>127690.04169278035</v>
      </c>
      <c r="M63" s="41">
        <f t="shared" si="39"/>
        <v>127690.04169278035</v>
      </c>
      <c r="N63" s="41">
        <f t="shared" si="39"/>
        <v>131520.74294356376</v>
      </c>
      <c r="O63" s="41">
        <f t="shared" si="39"/>
        <v>131520.74294356376</v>
      </c>
      <c r="P63" s="41">
        <f t="shared" si="39"/>
        <v>131520.74294356376</v>
      </c>
      <c r="Q63" s="41">
        <f t="shared" si="39"/>
        <v>139411.98752017762</v>
      </c>
      <c r="R63" s="41">
        <f t="shared" si="39"/>
        <v>139411.98752017762</v>
      </c>
      <c r="S63" s="41">
        <f t="shared" si="39"/>
        <v>139411.98752017762</v>
      </c>
      <c r="T63" s="41">
        <f t="shared" si="39"/>
        <v>0</v>
      </c>
      <c r="U63" s="41">
        <f t="shared" si="39"/>
        <v>0</v>
      </c>
      <c r="V63" s="41">
        <f t="shared" si="39"/>
        <v>0</v>
      </c>
      <c r="W63" s="41">
        <f t="shared" si="39"/>
        <v>0</v>
      </c>
      <c r="X63" s="41">
        <f t="shared" si="39"/>
        <v>0</v>
      </c>
      <c r="Y63" s="41">
        <f t="shared" si="39"/>
        <v>0</v>
      </c>
      <c r="Z63" s="41">
        <f t="shared" si="39"/>
        <v>0</v>
      </c>
      <c r="AA63" s="41">
        <f t="shared" si="39"/>
        <v>0</v>
      </c>
      <c r="AB63" s="41">
        <f t="shared" si="39"/>
        <v>0</v>
      </c>
      <c r="AC63" s="41">
        <f t="shared" si="39"/>
        <v>0</v>
      </c>
      <c r="AD63" s="41">
        <f t="shared" si="39"/>
        <v>0</v>
      </c>
      <c r="AE63" s="40">
        <f t="shared" si="39"/>
        <v>0</v>
      </c>
    </row>
    <row r="64" spans="1:31" outlineLevel="1" x14ac:dyDescent="0.25">
      <c r="A64" s="43" t="s">
        <v>51</v>
      </c>
      <c r="B64" s="119"/>
      <c r="C64" s="119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0"/>
    </row>
    <row r="65" spans="1:31" outlineLevel="1" x14ac:dyDescent="0.25">
      <c r="A65" s="42" t="s">
        <v>50</v>
      </c>
      <c r="B65" s="17">
        <f t="shared" ref="B65:AE65" si="40">IF(B50=0,IF(B51=0,0,(B54*Residential_Retained*0.35*Full_Res_Rate_A)),((B53*Land_Growth_Retained*0.35*Full_Res_Rate_A)+IF(B51=0,0,(B54*Residential_Retained*0.35*Full_Res_Rate_A))))</f>
        <v>0</v>
      </c>
      <c r="C65" s="17">
        <f t="shared" si="40"/>
        <v>0</v>
      </c>
      <c r="D65" s="17">
        <f t="shared" si="40"/>
        <v>0</v>
      </c>
      <c r="E65" s="17">
        <f t="shared" si="40"/>
        <v>132901.92352576682</v>
      </c>
      <c r="F65" s="17">
        <f t="shared" si="40"/>
        <v>132901.92352576682</v>
      </c>
      <c r="G65" s="17">
        <f t="shared" si="40"/>
        <v>132901.92352576682</v>
      </c>
      <c r="H65" s="17">
        <f t="shared" si="40"/>
        <v>136888.98123153983</v>
      </c>
      <c r="I65" s="17">
        <f t="shared" si="40"/>
        <v>136888.98123153983</v>
      </c>
      <c r="J65" s="17">
        <f t="shared" si="40"/>
        <v>136888.98123153983</v>
      </c>
      <c r="K65" s="17">
        <f t="shared" si="40"/>
        <v>145102.32010543221</v>
      </c>
      <c r="L65" s="17">
        <f t="shared" si="40"/>
        <v>127690.04169278035</v>
      </c>
      <c r="M65" s="17">
        <f t="shared" si="40"/>
        <v>127690.04169278035</v>
      </c>
      <c r="N65" s="17">
        <f t="shared" si="40"/>
        <v>131520.74294356376</v>
      </c>
      <c r="O65" s="17">
        <f t="shared" si="40"/>
        <v>131520.74294356376</v>
      </c>
      <c r="P65" s="17">
        <f t="shared" si="40"/>
        <v>131520.74294356376</v>
      </c>
      <c r="Q65" s="17">
        <f t="shared" si="40"/>
        <v>139411.98752017762</v>
      </c>
      <c r="R65" s="17">
        <f t="shared" si="40"/>
        <v>139411.98752017762</v>
      </c>
      <c r="S65" s="17">
        <f t="shared" si="40"/>
        <v>139411.98752017762</v>
      </c>
      <c r="T65" s="17">
        <f t="shared" si="40"/>
        <v>0</v>
      </c>
      <c r="U65" s="17">
        <f t="shared" si="40"/>
        <v>0</v>
      </c>
      <c r="V65" s="17">
        <f t="shared" si="40"/>
        <v>0</v>
      </c>
      <c r="W65" s="17">
        <f t="shared" si="40"/>
        <v>0</v>
      </c>
      <c r="X65" s="17">
        <f t="shared" si="40"/>
        <v>0</v>
      </c>
      <c r="Y65" s="17">
        <f t="shared" si="40"/>
        <v>0</v>
      </c>
      <c r="Z65" s="17">
        <f t="shared" si="40"/>
        <v>0</v>
      </c>
      <c r="AA65" s="17">
        <f t="shared" si="40"/>
        <v>0</v>
      </c>
      <c r="AB65" s="17">
        <f t="shared" si="40"/>
        <v>0</v>
      </c>
      <c r="AC65" s="17">
        <f t="shared" si="40"/>
        <v>0</v>
      </c>
      <c r="AD65" s="17">
        <f t="shared" si="40"/>
        <v>0</v>
      </c>
      <c r="AE65" s="38">
        <f t="shared" si="40"/>
        <v>0</v>
      </c>
    </row>
    <row r="66" spans="1:31" x14ac:dyDescent="0.25">
      <c r="A66" s="65" t="s">
        <v>49</v>
      </c>
      <c r="B66" s="17">
        <f t="shared" ref="B66:AE66" si="41">SUM(B59:B64)</f>
        <v>10098.459078609998</v>
      </c>
      <c r="C66" s="17">
        <f t="shared" si="41"/>
        <v>10098.459078609998</v>
      </c>
      <c r="D66" s="17">
        <f t="shared" si="41"/>
        <v>10098.459078609998</v>
      </c>
      <c r="E66" s="17">
        <f t="shared" si="41"/>
        <v>143000.38260437682</v>
      </c>
      <c r="F66" s="17">
        <f t="shared" si="41"/>
        <v>143000.38260437682</v>
      </c>
      <c r="G66" s="17">
        <f t="shared" si="41"/>
        <v>143000.38260437682</v>
      </c>
      <c r="H66" s="17">
        <f t="shared" si="41"/>
        <v>146987.44031014983</v>
      </c>
      <c r="I66" s="17">
        <f t="shared" si="41"/>
        <v>146987.44031014983</v>
      </c>
      <c r="J66" s="17">
        <f t="shared" si="41"/>
        <v>146987.44031014983</v>
      </c>
      <c r="K66" s="17">
        <f t="shared" si="41"/>
        <v>155200.77918404221</v>
      </c>
      <c r="L66" s="17">
        <f t="shared" si="41"/>
        <v>172613.0575966941</v>
      </c>
      <c r="M66" s="17">
        <f t="shared" si="41"/>
        <v>172613.0575966941</v>
      </c>
      <c r="N66" s="17">
        <f t="shared" si="41"/>
        <v>177488.49555223662</v>
      </c>
      <c r="O66" s="17">
        <f t="shared" si="41"/>
        <v>177488.49555223662</v>
      </c>
      <c r="P66" s="17">
        <f t="shared" si="41"/>
        <v>177488.49555223662</v>
      </c>
      <c r="Q66" s="17">
        <f t="shared" si="41"/>
        <v>187531.89774065424</v>
      </c>
      <c r="R66" s="17">
        <f t="shared" si="41"/>
        <v>187531.89774065424</v>
      </c>
      <c r="S66" s="17">
        <f t="shared" si="41"/>
        <v>187531.89774065424</v>
      </c>
      <c r="T66" s="17">
        <f t="shared" si="41"/>
        <v>336449.24804629851</v>
      </c>
      <c r="U66" s="17">
        <f t="shared" si="41"/>
        <v>336449.24804629851</v>
      </c>
      <c r="V66" s="17">
        <f t="shared" si="41"/>
        <v>336449.24804629851</v>
      </c>
      <c r="W66" s="17">
        <f t="shared" si="41"/>
        <v>356030.29538435978</v>
      </c>
      <c r="X66" s="17">
        <f t="shared" si="41"/>
        <v>356030.29538435978</v>
      </c>
      <c r="Y66" s="17">
        <f t="shared" si="41"/>
        <v>356030.29538435978</v>
      </c>
      <c r="Z66" s="17">
        <f t="shared" si="41"/>
        <v>366408.25047353236</v>
      </c>
      <c r="AA66" s="17">
        <f t="shared" si="41"/>
        <v>366408.25047353236</v>
      </c>
      <c r="AB66" s="17">
        <f t="shared" si="41"/>
        <v>366408.25047353236</v>
      </c>
      <c r="AC66" s="17">
        <f t="shared" si="41"/>
        <v>387786.83795722772</v>
      </c>
      <c r="AD66" s="17">
        <f t="shared" si="41"/>
        <v>387786.83795722772</v>
      </c>
      <c r="AE66" s="38">
        <f t="shared" si="41"/>
        <v>387786.83795722772</v>
      </c>
    </row>
    <row r="67" spans="1:31" x14ac:dyDescent="0.25">
      <c r="A67" s="37" t="s">
        <v>46</v>
      </c>
      <c r="B67" s="36">
        <f t="shared" ref="B67:AE67" si="42">IF(B68=0,SUM(B61:B64),"ERROR")</f>
        <v>0</v>
      </c>
      <c r="C67" s="36">
        <f t="shared" si="42"/>
        <v>0</v>
      </c>
      <c r="D67" s="36">
        <f t="shared" si="42"/>
        <v>0</v>
      </c>
      <c r="E67" s="36">
        <f t="shared" si="42"/>
        <v>132901.92352576682</v>
      </c>
      <c r="F67" s="36">
        <f t="shared" si="42"/>
        <v>132901.92352576682</v>
      </c>
      <c r="G67" s="36">
        <f t="shared" si="42"/>
        <v>132901.92352576682</v>
      </c>
      <c r="H67" s="36">
        <f t="shared" si="42"/>
        <v>136888.98123153983</v>
      </c>
      <c r="I67" s="36">
        <f t="shared" si="42"/>
        <v>136888.98123153983</v>
      </c>
      <c r="J67" s="36">
        <f t="shared" si="42"/>
        <v>136888.98123153983</v>
      </c>
      <c r="K67" s="36">
        <f t="shared" si="42"/>
        <v>145102.32010543221</v>
      </c>
      <c r="L67" s="36">
        <f t="shared" si="42"/>
        <v>137519.77625854153</v>
      </c>
      <c r="M67" s="36">
        <f t="shared" si="42"/>
        <v>137519.77625854153</v>
      </c>
      <c r="N67" s="36">
        <f t="shared" si="42"/>
        <v>141645.36954629779</v>
      </c>
      <c r="O67" s="36">
        <f t="shared" si="42"/>
        <v>141645.36954629779</v>
      </c>
      <c r="P67" s="36">
        <f t="shared" si="42"/>
        <v>141645.36954629779</v>
      </c>
      <c r="Q67" s="36">
        <f t="shared" si="42"/>
        <v>150144.09171907569</v>
      </c>
      <c r="R67" s="36">
        <f t="shared" si="42"/>
        <v>150144.09171907569</v>
      </c>
      <c r="S67" s="36">
        <f t="shared" si="42"/>
        <v>150144.09171907569</v>
      </c>
      <c r="T67" s="36">
        <f t="shared" si="42"/>
        <v>92117.227707208513</v>
      </c>
      <c r="U67" s="36">
        <f t="shared" si="42"/>
        <v>92117.227707208513</v>
      </c>
      <c r="V67" s="36">
        <f t="shared" si="42"/>
        <v>92117.227707208513</v>
      </c>
      <c r="W67" s="36">
        <f t="shared" si="42"/>
        <v>97644.261369641026</v>
      </c>
      <c r="X67" s="36">
        <f t="shared" si="42"/>
        <v>97644.261369641026</v>
      </c>
      <c r="Y67" s="36">
        <f t="shared" si="42"/>
        <v>97644.261369641026</v>
      </c>
      <c r="Z67" s="36">
        <f t="shared" si="42"/>
        <v>100573.58921073026</v>
      </c>
      <c r="AA67" s="36">
        <f t="shared" si="42"/>
        <v>100573.58921073026</v>
      </c>
      <c r="AB67" s="36">
        <f t="shared" si="42"/>
        <v>100573.58921073026</v>
      </c>
      <c r="AC67" s="36">
        <f t="shared" si="42"/>
        <v>106608.0045633741</v>
      </c>
      <c r="AD67" s="36">
        <f t="shared" si="42"/>
        <v>106608.0045633741</v>
      </c>
      <c r="AE67" s="35">
        <f t="shared" si="42"/>
        <v>106608.0045633741</v>
      </c>
    </row>
    <row r="68" spans="1:31" ht="15.75" thickBot="1" x14ac:dyDescent="0.3">
      <c r="A68" s="34" t="s">
        <v>48</v>
      </c>
      <c r="B68" s="33">
        <f t="shared" ref="B68:AE68" si="43">SUM(B59:B63,B65)-B57</f>
        <v>0</v>
      </c>
      <c r="C68" s="33">
        <f t="shared" si="43"/>
        <v>0</v>
      </c>
      <c r="D68" s="33">
        <f t="shared" si="43"/>
        <v>0</v>
      </c>
      <c r="E68" s="33">
        <f t="shared" si="43"/>
        <v>0</v>
      </c>
      <c r="F68" s="33">
        <f t="shared" si="43"/>
        <v>0</v>
      </c>
      <c r="G68" s="33">
        <f t="shared" si="43"/>
        <v>0</v>
      </c>
      <c r="H68" s="33">
        <f t="shared" si="43"/>
        <v>0</v>
      </c>
      <c r="I68" s="33">
        <f t="shared" si="43"/>
        <v>0</v>
      </c>
      <c r="J68" s="33">
        <f t="shared" si="43"/>
        <v>0</v>
      </c>
      <c r="K68" s="33">
        <f t="shared" si="43"/>
        <v>0</v>
      </c>
      <c r="L68" s="33">
        <f t="shared" si="43"/>
        <v>0</v>
      </c>
      <c r="M68" s="33">
        <f t="shared" si="43"/>
        <v>0</v>
      </c>
      <c r="N68" s="33">
        <f t="shared" si="43"/>
        <v>0</v>
      </c>
      <c r="O68" s="33">
        <f t="shared" si="43"/>
        <v>0</v>
      </c>
      <c r="P68" s="33">
        <f t="shared" si="43"/>
        <v>0</v>
      </c>
      <c r="Q68" s="33">
        <f t="shared" si="43"/>
        <v>0</v>
      </c>
      <c r="R68" s="33">
        <f t="shared" si="43"/>
        <v>0</v>
      </c>
      <c r="S68" s="33">
        <f t="shared" si="43"/>
        <v>0</v>
      </c>
      <c r="T68" s="33">
        <f t="shared" si="43"/>
        <v>0</v>
      </c>
      <c r="U68" s="33">
        <f t="shared" si="43"/>
        <v>0</v>
      </c>
      <c r="V68" s="33">
        <f t="shared" si="43"/>
        <v>0</v>
      </c>
      <c r="W68" s="33">
        <f t="shared" si="43"/>
        <v>0</v>
      </c>
      <c r="X68" s="33">
        <f t="shared" si="43"/>
        <v>0</v>
      </c>
      <c r="Y68" s="33">
        <f t="shared" si="43"/>
        <v>0</v>
      </c>
      <c r="Z68" s="33">
        <f t="shared" si="43"/>
        <v>0</v>
      </c>
      <c r="AA68" s="33">
        <f t="shared" si="43"/>
        <v>0</v>
      </c>
      <c r="AB68" s="33">
        <f t="shared" si="43"/>
        <v>0</v>
      </c>
      <c r="AC68" s="33">
        <f t="shared" si="43"/>
        <v>0</v>
      </c>
      <c r="AD68" s="33">
        <f t="shared" si="43"/>
        <v>0</v>
      </c>
      <c r="AE68" s="32">
        <f t="shared" si="43"/>
        <v>0</v>
      </c>
    </row>
    <row r="69" spans="1:31" ht="7.5" customHeight="1" x14ac:dyDescent="0.25">
      <c r="A69" s="64"/>
    </row>
    <row r="70" spans="1:31" ht="15.75" thickBot="1" x14ac:dyDescent="0.3">
      <c r="A70" s="16" t="str">
        <f>Assumptions!$C$13</f>
        <v>Condos</v>
      </c>
    </row>
    <row r="71" spans="1:31" s="87" customFormat="1" ht="15.75" outlineLevel="1" thickBot="1" x14ac:dyDescent="0.3">
      <c r="A71" s="115" t="s">
        <v>62</v>
      </c>
      <c r="B71" s="63"/>
      <c r="C71" s="63">
        <f>Assumptions!D16</f>
        <v>31</v>
      </c>
      <c r="D71" s="63">
        <f t="shared" ref="D71:AE71" si="44">C71</f>
        <v>31</v>
      </c>
      <c r="E71" s="63">
        <f t="shared" si="44"/>
        <v>31</v>
      </c>
      <c r="F71" s="63">
        <f t="shared" si="44"/>
        <v>31</v>
      </c>
      <c r="G71" s="63">
        <f t="shared" si="44"/>
        <v>31</v>
      </c>
      <c r="H71" s="63">
        <f t="shared" si="44"/>
        <v>31</v>
      </c>
      <c r="I71" s="63">
        <f t="shared" si="44"/>
        <v>31</v>
      </c>
      <c r="J71" s="63">
        <f t="shared" si="44"/>
        <v>31</v>
      </c>
      <c r="K71" s="63">
        <f t="shared" si="44"/>
        <v>31</v>
      </c>
      <c r="L71" s="63">
        <f t="shared" si="44"/>
        <v>31</v>
      </c>
      <c r="M71" s="63">
        <f t="shared" si="44"/>
        <v>31</v>
      </c>
      <c r="N71" s="63">
        <f t="shared" si="44"/>
        <v>31</v>
      </c>
      <c r="O71" s="63">
        <f t="shared" si="44"/>
        <v>31</v>
      </c>
      <c r="P71" s="63">
        <f t="shared" si="44"/>
        <v>31</v>
      </c>
      <c r="Q71" s="63">
        <f t="shared" si="44"/>
        <v>31</v>
      </c>
      <c r="R71" s="63">
        <f t="shared" si="44"/>
        <v>31</v>
      </c>
      <c r="S71" s="63">
        <f t="shared" si="44"/>
        <v>31</v>
      </c>
      <c r="T71" s="63">
        <f t="shared" si="44"/>
        <v>31</v>
      </c>
      <c r="U71" s="63">
        <f t="shared" si="44"/>
        <v>31</v>
      </c>
      <c r="V71" s="63">
        <f t="shared" si="44"/>
        <v>31</v>
      </c>
      <c r="W71" s="63">
        <f t="shared" si="44"/>
        <v>31</v>
      </c>
      <c r="X71" s="63">
        <f t="shared" si="44"/>
        <v>31</v>
      </c>
      <c r="Y71" s="63">
        <f t="shared" si="44"/>
        <v>31</v>
      </c>
      <c r="Z71" s="63">
        <f t="shared" si="44"/>
        <v>31</v>
      </c>
      <c r="AA71" s="63">
        <f t="shared" si="44"/>
        <v>31</v>
      </c>
      <c r="AB71" s="63">
        <f t="shared" si="44"/>
        <v>31</v>
      </c>
      <c r="AC71" s="63">
        <f t="shared" si="44"/>
        <v>31</v>
      </c>
      <c r="AD71" s="63">
        <f t="shared" si="44"/>
        <v>31</v>
      </c>
      <c r="AE71" s="62">
        <f t="shared" si="44"/>
        <v>31</v>
      </c>
    </row>
    <row r="72" spans="1:31" s="87" customFormat="1" outlineLevel="1" x14ac:dyDescent="0.25">
      <c r="A72" s="115" t="s">
        <v>63</v>
      </c>
      <c r="B72" s="116">
        <f>IF(Land_Growth_Term&gt;0,1)</f>
        <v>1</v>
      </c>
      <c r="C72" s="63">
        <f t="shared" ref="C72:K72" si="45">IF(Land_Growth_Term&gt;0,B72+1)</f>
        <v>2</v>
      </c>
      <c r="D72" s="63">
        <f t="shared" si="45"/>
        <v>3</v>
      </c>
      <c r="E72" s="63">
        <f t="shared" si="45"/>
        <v>4</v>
      </c>
      <c r="F72" s="63">
        <f t="shared" si="45"/>
        <v>5</v>
      </c>
      <c r="G72" s="63">
        <f t="shared" si="45"/>
        <v>6</v>
      </c>
      <c r="H72" s="63">
        <f t="shared" si="45"/>
        <v>7</v>
      </c>
      <c r="I72" s="63">
        <f t="shared" si="45"/>
        <v>8</v>
      </c>
      <c r="J72" s="63">
        <f t="shared" si="45"/>
        <v>9</v>
      </c>
      <c r="K72" s="63">
        <f t="shared" si="45"/>
        <v>10</v>
      </c>
      <c r="L72" s="63"/>
      <c r="M72" s="116"/>
      <c r="N72" s="116"/>
      <c r="O72" s="116"/>
      <c r="P72" s="116"/>
      <c r="Q72" s="116"/>
      <c r="R72" s="116"/>
      <c r="S72" s="116"/>
      <c r="T72" s="116"/>
      <c r="U72" s="116"/>
      <c r="V72" s="116"/>
      <c r="W72" s="116"/>
      <c r="X72" s="116"/>
      <c r="Y72" s="116"/>
      <c r="Z72" s="116"/>
      <c r="AA72" s="116"/>
      <c r="AB72" s="116"/>
      <c r="AC72" s="116"/>
      <c r="AD72" s="116"/>
      <c r="AE72" s="117"/>
    </row>
    <row r="73" spans="1:31" outlineLevel="1" x14ac:dyDescent="0.25">
      <c r="A73" s="59" t="s">
        <v>61</v>
      </c>
      <c r="B73" s="61">
        <f>IF(Assumptions!$D$14&gt;=B$2,0,IF(Assumptions!$D$14+1=B$2,1,IF(Assumptions!$D$14+15&gt;=B$2,A73+1,0)))</f>
        <v>0</v>
      </c>
      <c r="C73" s="61">
        <f>IF(Assumptions!$D$14&gt;=C$2,0,IF(Assumptions!$D$14+1=C$2,1,IF(Assumptions!$D$14+15&gt;=C$2,B73+1,0)))</f>
        <v>0</v>
      </c>
      <c r="D73" s="41">
        <f>IF(Assumptions!$D$14&gt;=D$2,0,IF(Assumptions!$D$14+1=D$2,1,IF(Assumptions!$D$14+15&gt;=D$2,C73+1,0)))</f>
        <v>0</v>
      </c>
      <c r="E73" s="41">
        <f>IF(Assumptions!$D$14&gt;=E$2,0,IF(Assumptions!$D$14+1=E$2,1,IF(Assumptions!$D$14+15&gt;=E$2,D73+1,0)))</f>
        <v>1</v>
      </c>
      <c r="F73" s="61">
        <f>IF(Assumptions!$D$14&gt;=F$2,0,IF(Assumptions!$D$14+1=F$2,1,IF(Assumptions!$D$14+15&gt;=F$2,E73+1,0)))</f>
        <v>2</v>
      </c>
      <c r="G73" s="41">
        <f>IF(Assumptions!$D$14&gt;=G$2,0,IF(Assumptions!$D$14+1=G$2,1,IF(Assumptions!$D$14+15&gt;=G$2,F73+1,0)))</f>
        <v>3</v>
      </c>
      <c r="H73" s="41">
        <f>IF(Assumptions!$D$14&gt;=H$2,0,IF(Assumptions!$D$14+1=H$2,1,IF(Assumptions!$D$14+15&gt;=H$2,G73+1,0)))</f>
        <v>4</v>
      </c>
      <c r="I73" s="61">
        <f>IF(Assumptions!$D$14&gt;=I$2,0,IF(Assumptions!$D$14+1=I$2,1,IF(Assumptions!$D$14+15&gt;=I$2,H73+1,0)))</f>
        <v>5</v>
      </c>
      <c r="J73" s="41">
        <f>IF(Assumptions!$D$14&gt;=J$2,0,IF(Assumptions!$D$14+1=J$2,1,IF(Assumptions!$D$14+15&gt;=J$2,I73+1,0)))</f>
        <v>6</v>
      </c>
      <c r="K73" s="41">
        <f>IF(Assumptions!$D$14&gt;=K$2,0,IF(Assumptions!$D$14+1=K$2,1,IF(Assumptions!$D$14+15&gt;=K$2,J73+1,0)))</f>
        <v>7</v>
      </c>
      <c r="L73" s="61">
        <f>IF(Assumptions!$D$14&gt;=L$2,0,IF(Assumptions!$D$14+1=L$2,1,IF(Assumptions!$D$14+15&gt;=L$2,K73+1,0)))</f>
        <v>8</v>
      </c>
      <c r="M73" s="41">
        <f>IF(Assumptions!$D$14&gt;=M$2,0,IF(Assumptions!$D$14+1=M$2,1,IF(Assumptions!$D$14+15&gt;=M$2,L73+1,0)))</f>
        <v>9</v>
      </c>
      <c r="N73" s="41">
        <f>IF(Assumptions!$D$14&gt;=N$2,0,IF(Assumptions!$D$14+1=N$2,1,IF(Assumptions!$D$14+15&gt;=N$2,M73+1,0)))</f>
        <v>10</v>
      </c>
      <c r="O73" s="61">
        <f>IF(Assumptions!$D$14&gt;=O$2,0,IF(Assumptions!$D$14+1=O$2,1,IF(Assumptions!$D$14+15&gt;=O$2,N73+1,0)))</f>
        <v>11</v>
      </c>
      <c r="P73" s="41">
        <f>IF(Assumptions!$D$14&gt;=P$2,0,IF(Assumptions!$D$14+1=P$2,1,IF(Assumptions!$D$14+15&gt;=P$2,O73+1,0)))</f>
        <v>12</v>
      </c>
      <c r="Q73" s="41">
        <f>IF(Assumptions!$D$14&gt;=Q$2,0,IF(Assumptions!$D$14+1=Q$2,1,IF(Assumptions!$D$14+15&gt;=Q$2,P73+1,0)))</f>
        <v>13</v>
      </c>
      <c r="R73" s="41">
        <f>IF(Assumptions!$D$14&gt;=R$2,0,IF(Assumptions!$D$14+1=R$2,1,IF(Assumptions!$D$14+15&gt;=R$2,Q73+1,0)))</f>
        <v>14</v>
      </c>
      <c r="S73" s="41">
        <f>IF(Assumptions!$D$14&gt;=S$2,0,IF(Assumptions!$D$14+1=S$2,1,IF(Assumptions!$D$14+15&gt;=S$2,R73+1,0)))</f>
        <v>15</v>
      </c>
      <c r="T73" s="41">
        <f>IF(Assumptions!$D$14&gt;=T$2,0,IF(Assumptions!$D$14+1=T$2,1,IF(Assumptions!$D$14+15&gt;=T$2,S73+1,0)))</f>
        <v>0</v>
      </c>
      <c r="U73" s="41">
        <f>IF(Assumptions!$D$14&gt;=U$2,0,IF(Assumptions!$D$14+1=U$2,1,IF(Assumptions!$D$14+15&gt;=U$2,T73+1,0)))</f>
        <v>0</v>
      </c>
      <c r="V73" s="41">
        <f>IF(Assumptions!$D$14&gt;=V$2,0,IF(Assumptions!$D$14+1=V$2,1,IF(Assumptions!$D$14+15&gt;=V$2,U73+1,0)))</f>
        <v>0</v>
      </c>
      <c r="W73" s="41">
        <f>IF(Assumptions!$D$14&gt;=W$2,0,IF(Assumptions!$D$14+1=W$2,1,IF(Assumptions!$D$14+15&gt;=W$2,V73+1,0)))</f>
        <v>0</v>
      </c>
      <c r="X73" s="41">
        <f>IF(Assumptions!$D$14&gt;=X$2,0,IF(Assumptions!$D$14+1=X$2,1,IF(Assumptions!$D$14+15&gt;=X$2,W73+1,0)))</f>
        <v>0</v>
      </c>
      <c r="Y73" s="41">
        <f>IF(Assumptions!$D$14&gt;=Y$2,0,IF(Assumptions!$D$14+1=Y$2,1,IF(Assumptions!$D$14+15&gt;=Y$2,X73+1,0)))</f>
        <v>0</v>
      </c>
      <c r="Z73" s="41">
        <f>IF(Assumptions!$D$14&gt;=Z$2,0,IF(Assumptions!$D$14+1=Z$2,1,IF(Assumptions!$D$14+15&gt;=Z$2,Y73+1,0)))</f>
        <v>0</v>
      </c>
      <c r="AA73" s="41">
        <f>IF(Assumptions!$D$14&gt;=AA$2,0,IF(Assumptions!$D$14+1=AA$2,1,IF(Assumptions!$D$14+15&gt;=AA$2,Z73+1,0)))</f>
        <v>0</v>
      </c>
      <c r="AB73" s="41">
        <f>IF(Assumptions!$D$14&gt;=AB$2,0,IF(Assumptions!$D$14+1=AB$2,1,IF(Assumptions!$D$14+15&gt;=AB$2,AA73+1,0)))</f>
        <v>0</v>
      </c>
      <c r="AC73" s="41">
        <f>IF(Assumptions!$D$14&gt;=AC$2,0,IF(Assumptions!$D$14+1=AC$2,1,IF(Assumptions!$D$14+15&gt;=AC$2,AB73+1,0)))</f>
        <v>0</v>
      </c>
      <c r="AD73" s="41">
        <f>IF(Assumptions!$D$14&gt;=AD$2,0,IF(Assumptions!$D$14+1=AD$2,1,IF(Assumptions!$D$14+15&gt;=AD$2,AC73+1,0)))</f>
        <v>0</v>
      </c>
      <c r="AE73" s="40">
        <f>IF(Assumptions!$D$14&gt;=AE$2,0,IF(Assumptions!$D$14+1=AE$2,1,IF(Assumptions!$D$14+15&gt;=AE$2,AD73+1,0)))</f>
        <v>0</v>
      </c>
    </row>
    <row r="74" spans="1:31" outlineLevel="1" x14ac:dyDescent="0.25">
      <c r="A74" s="59" t="s">
        <v>6</v>
      </c>
      <c r="B74" s="61">
        <f>Condos_Base_Val</f>
        <v>88655.35714285713</v>
      </c>
      <c r="C74" s="61">
        <f>B74</f>
        <v>88655.35714285713</v>
      </c>
      <c r="D74" s="61">
        <f t="shared" ref="D74:AE74" si="46">C74</f>
        <v>88655.35714285713</v>
      </c>
      <c r="E74" s="61">
        <f t="shared" si="46"/>
        <v>88655.35714285713</v>
      </c>
      <c r="F74" s="61">
        <f t="shared" si="46"/>
        <v>88655.35714285713</v>
      </c>
      <c r="G74" s="61">
        <f t="shared" si="46"/>
        <v>88655.35714285713</v>
      </c>
      <c r="H74" s="61">
        <f t="shared" si="46"/>
        <v>88655.35714285713</v>
      </c>
      <c r="I74" s="61">
        <f t="shared" si="46"/>
        <v>88655.35714285713</v>
      </c>
      <c r="J74" s="61">
        <f t="shared" si="46"/>
        <v>88655.35714285713</v>
      </c>
      <c r="K74" s="61">
        <f t="shared" si="46"/>
        <v>88655.35714285713</v>
      </c>
      <c r="L74" s="61">
        <f t="shared" si="46"/>
        <v>88655.35714285713</v>
      </c>
      <c r="M74" s="61">
        <f t="shared" si="46"/>
        <v>88655.35714285713</v>
      </c>
      <c r="N74" s="61">
        <f t="shared" si="46"/>
        <v>88655.35714285713</v>
      </c>
      <c r="O74" s="61">
        <f t="shared" si="46"/>
        <v>88655.35714285713</v>
      </c>
      <c r="P74" s="61">
        <f t="shared" si="46"/>
        <v>88655.35714285713</v>
      </c>
      <c r="Q74" s="61">
        <f t="shared" si="46"/>
        <v>88655.35714285713</v>
      </c>
      <c r="R74" s="61">
        <f t="shared" si="46"/>
        <v>88655.35714285713</v>
      </c>
      <c r="S74" s="61">
        <f t="shared" si="46"/>
        <v>88655.35714285713</v>
      </c>
      <c r="T74" s="61">
        <f t="shared" si="46"/>
        <v>88655.35714285713</v>
      </c>
      <c r="U74" s="61">
        <f t="shared" si="46"/>
        <v>88655.35714285713</v>
      </c>
      <c r="V74" s="61">
        <f t="shared" si="46"/>
        <v>88655.35714285713</v>
      </c>
      <c r="W74" s="61">
        <f t="shared" si="46"/>
        <v>88655.35714285713</v>
      </c>
      <c r="X74" s="61">
        <f t="shared" si="46"/>
        <v>88655.35714285713</v>
      </c>
      <c r="Y74" s="61">
        <f t="shared" si="46"/>
        <v>88655.35714285713</v>
      </c>
      <c r="Z74" s="61">
        <f t="shared" si="46"/>
        <v>88655.35714285713</v>
      </c>
      <c r="AA74" s="61">
        <f t="shared" si="46"/>
        <v>88655.35714285713</v>
      </c>
      <c r="AB74" s="61">
        <f t="shared" si="46"/>
        <v>88655.35714285713</v>
      </c>
      <c r="AC74" s="61">
        <f t="shared" si="46"/>
        <v>88655.35714285713</v>
      </c>
      <c r="AD74" s="61">
        <f t="shared" si="46"/>
        <v>88655.35714285713</v>
      </c>
      <c r="AE74" s="60">
        <f t="shared" si="46"/>
        <v>88655.35714285713</v>
      </c>
    </row>
    <row r="75" spans="1:31" outlineLevel="1" x14ac:dyDescent="0.25">
      <c r="A75" s="59" t="s">
        <v>8</v>
      </c>
      <c r="B75" s="61">
        <f>IF(B$2&lt;=Assumptions!$D$14,0,IF(B$2=Assumptions!$D$14+1,Condos_Land_Growth*(1+B$4),IF(B$2&gt;Assumptions!$D$14,A75*(1+B$3),0)))</f>
        <v>0</v>
      </c>
      <c r="C75" s="61">
        <f>IF(C$2&lt;=Assumptions!$D$14,0,IF(C$2=Assumptions!$D$14+1,Condos_Land_Growth*(1+C$4),IF(C$2&gt;Assumptions!$D$14,B75*(1+C$3),0)))</f>
        <v>0</v>
      </c>
      <c r="D75" s="61">
        <f>IF(D$2&lt;=Assumptions!$D$14,0,IF(D$2=Assumptions!$D$14+1,Condos_Land_Growth*(1+D$4),IF(D$2&gt;Assumptions!$D$14,C75*(1+D$3),0)))</f>
        <v>0</v>
      </c>
      <c r="E75" s="61">
        <f>IF(E$2&lt;=Assumptions!$D$14,0,IF(E$2=Assumptions!$D$14+1,Condos_Land_Growth*(1+E$4),IF(E$2&gt;Assumptions!$D$14,D75*(1+E$3),0)))</f>
        <v>2222207.5297285714</v>
      </c>
      <c r="F75" s="61">
        <f>IF(F$2&lt;=Assumptions!$D$14,0,IF(F$2=Assumptions!$D$14+1,Condos_Land_Growth*(1+F$4),IF(F$2&gt;Assumptions!$D$14,E75*(1+F$3),0)))</f>
        <v>2222207.5297285714</v>
      </c>
      <c r="G75" s="61">
        <f>IF(G$2&lt;=Assumptions!$D$14,0,IF(G$2=Assumptions!$D$14+1,Condos_Land_Growth*(1+G$4),IF(G$2&gt;Assumptions!$D$14,F75*(1+G$3),0)))</f>
        <v>2222207.5297285714</v>
      </c>
      <c r="H75" s="61">
        <f>IF(H$2&lt;=Assumptions!$D$14,0,IF(H$2=Assumptions!$D$14+1,Condos_Land_Growth*(1+H$4),IF(H$2&gt;Assumptions!$D$14,G75*(1+H$3),0)))</f>
        <v>2288873.7556204288</v>
      </c>
      <c r="I75" s="61">
        <f>IF(I$2&lt;=Assumptions!$D$14,0,IF(I$2=Assumptions!$D$14+1,Condos_Land_Growth*(1+I$4),IF(I$2&gt;Assumptions!$D$14,H75*(1+I$3),0)))</f>
        <v>2288873.7556204288</v>
      </c>
      <c r="J75" s="61">
        <f>IF(J$2&lt;=Assumptions!$D$14,0,IF(J$2=Assumptions!$D$14+1,Condos_Land_Growth*(1+J$4),IF(J$2&gt;Assumptions!$D$14,I75*(1+J$3),0)))</f>
        <v>2288873.7556204288</v>
      </c>
      <c r="K75" s="61">
        <f>IF(K$2&lt;=Assumptions!$D$14,0,IF(K$2=Assumptions!$D$14+1,Condos_Land_Growth*(1+K$4),IF(K$2&gt;Assumptions!$D$14,J75*(1+K$3),0)))</f>
        <v>2426206.1809576545</v>
      </c>
      <c r="L75" s="61">
        <f>IF(L$2&lt;=Assumptions!$D$14,0,IF(L$2=Assumptions!$D$14+1,Condos_Land_Growth*(1+L$4),IF(L$2&gt;Assumptions!$D$14,K75*(1+L$3),0)))</f>
        <v>2426206.1809576545</v>
      </c>
      <c r="M75" s="61">
        <f>IF(M$2&lt;=Assumptions!$D$14,0,IF(M$2=Assumptions!$D$14+1,Condos_Land_Growth*(1+M$4),IF(M$2&gt;Assumptions!$D$14,L75*(1+M$3),0)))</f>
        <v>2426206.1809576545</v>
      </c>
      <c r="N75" s="61">
        <f>IF(N$2&lt;=Assumptions!$D$14,0,IF(N$2=Assumptions!$D$14+1,Condos_Land_Growth*(1+N$4),IF(N$2&gt;Assumptions!$D$14,M75*(1+N$3),0)))</f>
        <v>2498992.3663863842</v>
      </c>
      <c r="O75" s="61">
        <f>IF(O$2&lt;=Assumptions!$D$14,0,IF(O$2=Assumptions!$D$14+1,Condos_Land_Growth*(1+O$4),IF(O$2&gt;Assumptions!$D$14,N75*(1+O$3),0)))</f>
        <v>2498992.3663863842</v>
      </c>
      <c r="P75" s="61">
        <f>IF(P$2&lt;=Assumptions!$D$14,0,IF(P$2=Assumptions!$D$14+1,Condos_Land_Growth*(1+P$4),IF(P$2&gt;Assumptions!$D$14,O75*(1+P$3),0)))</f>
        <v>2498992.3663863842</v>
      </c>
      <c r="Q75" s="61">
        <f>IF(Q$2&lt;=Assumptions!$D$14,0,IF(Q$2=Assumptions!$D$14+1,Condos_Land_Growth*(1+Q$4),IF(Q$2&gt;Assumptions!$D$14,P75*(1+Q$3),0)))</f>
        <v>2648931.9083695672</v>
      </c>
      <c r="R75" s="61">
        <f>IF(R$2&lt;=Assumptions!$D$14,0,IF(R$2=Assumptions!$D$14+1,Condos_Land_Growth*(1+R$4),IF(R$2&gt;Assumptions!$D$14,Q75*(1+R$3),0)))</f>
        <v>2648931.9083695672</v>
      </c>
      <c r="S75" s="61">
        <f>IF(S$2&lt;=Assumptions!$D$14,0,IF(S$2=Assumptions!$D$14+1,Condos_Land_Growth*(1+S$4),IF(S$2&gt;Assumptions!$D$14,R75*(1+S$3),0)))</f>
        <v>2648931.9083695672</v>
      </c>
      <c r="T75" s="61">
        <f>IF(T$2&lt;=Assumptions!$D$14,0,IF(T$2=Assumptions!$D$14+1,Condos_Land_Growth*(1+T$4),IF(T$2&gt;Assumptions!$D$14,S75*(1+T$3),0)))</f>
        <v>2728399.8656206545</v>
      </c>
      <c r="U75" s="61">
        <f>IF(U$2&lt;=Assumptions!$D$14,0,IF(U$2=Assumptions!$D$14+1,Condos_Land_Growth*(1+U$4),IF(U$2&gt;Assumptions!$D$14,T75*(1+U$3),0)))</f>
        <v>2728399.8656206545</v>
      </c>
      <c r="V75" s="61">
        <f>IF(V$2&lt;=Assumptions!$D$14,0,IF(V$2=Assumptions!$D$14+1,Condos_Land_Growth*(1+V$4),IF(V$2&gt;Assumptions!$D$14,U75*(1+V$3),0)))</f>
        <v>2728399.8656206545</v>
      </c>
      <c r="W75" s="61">
        <f>IF(W$2&lt;=Assumptions!$D$14,0,IF(W$2=Assumptions!$D$14+1,Condos_Land_Growth*(1+W$4),IF(W$2&gt;Assumptions!$D$14,V75*(1+W$3),0)))</f>
        <v>2892103.8575578937</v>
      </c>
      <c r="X75" s="61">
        <f>IF(X$2&lt;=Assumptions!$D$14,0,IF(X$2=Assumptions!$D$14+1,Condos_Land_Growth*(1+X$4),IF(X$2&gt;Assumptions!$D$14,W75*(1+X$3),0)))</f>
        <v>2892103.8575578937</v>
      </c>
      <c r="Y75" s="61">
        <f>IF(Y$2&lt;=Assumptions!$D$14,0,IF(Y$2=Assumptions!$D$14+1,Condos_Land_Growth*(1+Y$4),IF(Y$2&gt;Assumptions!$D$14,X75*(1+Y$3),0)))</f>
        <v>2892103.8575578937</v>
      </c>
      <c r="Z75" s="61">
        <f>IF(Z$2&lt;=Assumptions!$D$14,0,IF(Z$2=Assumptions!$D$14+1,Condos_Land_Growth*(1+Z$4),IF(Z$2&gt;Assumptions!$D$14,Y75*(1+Z$3),0)))</f>
        <v>2978866.9732846306</v>
      </c>
      <c r="AA75" s="61">
        <f>IF(AA$2&lt;=Assumptions!$D$14,0,IF(AA$2=Assumptions!$D$14+1,Condos_Land_Growth*(1+AA$4),IF(AA$2&gt;Assumptions!$D$14,Z75*(1+AA$3),0)))</f>
        <v>2978866.9732846306</v>
      </c>
      <c r="AB75" s="61">
        <f>IF(AB$2&lt;=Assumptions!$D$14,0,IF(AB$2=Assumptions!$D$14+1,Condos_Land_Growth*(1+AB$4),IF(AB$2&gt;Assumptions!$D$14,AA75*(1+AB$3),0)))</f>
        <v>2978866.9732846306</v>
      </c>
      <c r="AC75" s="61">
        <f>IF(AC$2&lt;=Assumptions!$D$14,0,IF(AC$2=Assumptions!$D$14+1,Condos_Land_Growth*(1+AC$4),IF(AC$2&gt;Assumptions!$D$14,AB75*(1+AC$3),0)))</f>
        <v>3157598.9916817085</v>
      </c>
      <c r="AD75" s="61">
        <f>IF(AD$2&lt;=Assumptions!$D$14,0,IF(AD$2=Assumptions!$D$14+1,Condos_Land_Growth*(1+AD$4),IF(AD$2&gt;Assumptions!$D$14,AC75*(1+AD$3),0)))</f>
        <v>3157598.9916817085</v>
      </c>
      <c r="AE75" s="60">
        <f>IF(AE$2&lt;=Assumptions!$D$14,0,IF(AE$2=Assumptions!$D$14+1,Condos_Land_Growth*(1+AE$4),IF(AE$2&gt;Assumptions!$D$14,AD75*(1+AE$3),0)))</f>
        <v>3157598.9916817085</v>
      </c>
    </row>
    <row r="76" spans="1:31" ht="15.75" outlineLevel="1" thickBot="1" x14ac:dyDescent="0.3">
      <c r="A76" s="59" t="s">
        <v>9</v>
      </c>
      <c r="B76" s="58">
        <f>IF(B$2&lt;=Assumptions!$D$14,0,IF(B$2=Assumptions!$D$14+1,Condos_Impvt_Val*(1+B$4),IF(B$2&gt;Assumptions!$D$14,A76*(1+B$3),0)))</f>
        <v>0</v>
      </c>
      <c r="C76" s="58">
        <f>IF(C$2&lt;=Assumptions!$D$14,0,IF(C$2=Assumptions!$D$14+1,Condos_Impvt_Val*(1+C$4),IF(C$2&gt;Assumptions!$D$14,B76*(1+C$3),0)))</f>
        <v>0</v>
      </c>
      <c r="D76" s="58">
        <f>IF(D$2&lt;=Assumptions!$D$14,0,IF(D$2=Assumptions!$D$14+1,Condos_Impvt_Val*(1+D$4),IF(D$2&gt;Assumptions!$D$14,C76*(1+D$3),0)))</f>
        <v>0</v>
      </c>
      <c r="E76" s="58">
        <f>IF(E$2&lt;=Assumptions!$D$14,0,IF(E$2=Assumptions!$D$14+1,Condos_Impvt_Val*(1+E$4),IF(E$2&gt;Assumptions!$D$14,D76*(1+E$3),0)))</f>
        <v>16296188.551342858</v>
      </c>
      <c r="F76" s="58">
        <f>IF(F$2&lt;=Assumptions!$D$14,0,IF(F$2=Assumptions!$D$14+1,Condos_Impvt_Val*(1+F$4),IF(F$2&gt;Assumptions!$D$14,E76*(1+F$3),0)))</f>
        <v>16296188.551342858</v>
      </c>
      <c r="G76" s="58">
        <f>IF(G$2&lt;=Assumptions!$D$14,0,IF(G$2=Assumptions!$D$14+1,Condos_Impvt_Val*(1+G$4),IF(G$2&gt;Assumptions!$D$14,F76*(1+G$3),0)))</f>
        <v>16296188.551342858</v>
      </c>
      <c r="H76" s="58">
        <f>IF(H$2&lt;=Assumptions!$D$14,0,IF(H$2=Assumptions!$D$14+1,Condos_Impvt_Val*(1+H$4),IF(H$2&gt;Assumptions!$D$14,G76*(1+H$3),0)))</f>
        <v>16785074.207883146</v>
      </c>
      <c r="I76" s="58">
        <f>IF(I$2&lt;=Assumptions!$D$14,0,IF(I$2=Assumptions!$D$14+1,Condos_Impvt_Val*(1+I$4),IF(I$2&gt;Assumptions!$D$14,H76*(1+I$3),0)))</f>
        <v>16785074.207883146</v>
      </c>
      <c r="J76" s="58">
        <f>IF(J$2&lt;=Assumptions!$D$14,0,IF(J$2=Assumptions!$D$14+1,Condos_Impvt_Val*(1+J$4),IF(J$2&gt;Assumptions!$D$14,I76*(1+J$3),0)))</f>
        <v>16785074.207883146</v>
      </c>
      <c r="K76" s="58">
        <f>IF(K$2&lt;=Assumptions!$D$14,0,IF(K$2=Assumptions!$D$14+1,Condos_Impvt_Val*(1+K$4),IF(K$2&gt;Assumptions!$D$14,J76*(1+K$3),0)))</f>
        <v>17792178.660356134</v>
      </c>
      <c r="L76" s="58">
        <f>IF(L$2&lt;=Assumptions!$D$14,0,IF(L$2=Assumptions!$D$14+1,Condos_Impvt_Val*(1+L$4),IF(L$2&gt;Assumptions!$D$14,K76*(1+L$3),0)))</f>
        <v>17792178.660356134</v>
      </c>
      <c r="M76" s="58">
        <f>IF(M$2&lt;=Assumptions!$D$14,0,IF(M$2=Assumptions!$D$14+1,Condos_Impvt_Val*(1+M$4),IF(M$2&gt;Assumptions!$D$14,L76*(1+M$3),0)))</f>
        <v>17792178.660356134</v>
      </c>
      <c r="N76" s="58">
        <f>IF(N$2&lt;=Assumptions!$D$14,0,IF(N$2=Assumptions!$D$14+1,Condos_Impvt_Val*(1+N$4),IF(N$2&gt;Assumptions!$D$14,M76*(1+N$3),0)))</f>
        <v>18325944.020166818</v>
      </c>
      <c r="O76" s="58">
        <f>IF(O$2&lt;=Assumptions!$D$14,0,IF(O$2=Assumptions!$D$14+1,Condos_Impvt_Val*(1+O$4),IF(O$2&gt;Assumptions!$D$14,N76*(1+O$3),0)))</f>
        <v>18325944.020166818</v>
      </c>
      <c r="P76" s="58">
        <f>IF(P$2&lt;=Assumptions!$D$14,0,IF(P$2=Assumptions!$D$14+1,Condos_Impvt_Val*(1+P$4),IF(P$2&gt;Assumptions!$D$14,O76*(1+P$3),0)))</f>
        <v>18325944.020166818</v>
      </c>
      <c r="Q76" s="58">
        <f>IF(Q$2&lt;=Assumptions!$D$14,0,IF(Q$2=Assumptions!$D$14+1,Condos_Impvt_Val*(1+Q$4),IF(Q$2&gt;Assumptions!$D$14,P76*(1+Q$3),0)))</f>
        <v>19425500.661376826</v>
      </c>
      <c r="R76" s="58">
        <f>IF(R$2&lt;=Assumptions!$D$14,0,IF(R$2=Assumptions!$D$14+1,Condos_Impvt_Val*(1+R$4),IF(R$2&gt;Assumptions!$D$14,Q76*(1+R$3),0)))</f>
        <v>19425500.661376826</v>
      </c>
      <c r="S76" s="58">
        <f>IF(S$2&lt;=Assumptions!$D$14,0,IF(S$2=Assumptions!$D$14+1,Condos_Impvt_Val*(1+S$4),IF(S$2&gt;Assumptions!$D$14,R76*(1+S$3),0)))</f>
        <v>19425500.661376826</v>
      </c>
      <c r="T76" s="58">
        <f>IF(T$2&lt;=Assumptions!$D$14,0,IF(T$2=Assumptions!$D$14+1,Condos_Impvt_Val*(1+T$4),IF(T$2&gt;Assumptions!$D$14,S76*(1+T$3),0)))</f>
        <v>20008265.681218132</v>
      </c>
      <c r="U76" s="58">
        <f>IF(U$2&lt;=Assumptions!$D$14,0,IF(U$2=Assumptions!$D$14+1,Condos_Impvt_Val*(1+U$4),IF(U$2&gt;Assumptions!$D$14,T76*(1+U$3),0)))</f>
        <v>20008265.681218132</v>
      </c>
      <c r="V76" s="58">
        <f>IF(V$2&lt;=Assumptions!$D$14,0,IF(V$2=Assumptions!$D$14+1,Condos_Impvt_Val*(1+V$4),IF(V$2&gt;Assumptions!$D$14,U76*(1+V$3),0)))</f>
        <v>20008265.681218132</v>
      </c>
      <c r="W76" s="58">
        <f>IF(W$2&lt;=Assumptions!$D$14,0,IF(W$2=Assumptions!$D$14+1,Condos_Impvt_Val*(1+W$4),IF(W$2&gt;Assumptions!$D$14,V76*(1+W$3),0)))</f>
        <v>21208761.622091223</v>
      </c>
      <c r="X76" s="58">
        <f>IF(X$2&lt;=Assumptions!$D$14,0,IF(X$2=Assumptions!$D$14+1,Condos_Impvt_Val*(1+X$4),IF(X$2&gt;Assumptions!$D$14,W76*(1+X$3),0)))</f>
        <v>21208761.622091223</v>
      </c>
      <c r="Y76" s="58">
        <f>IF(Y$2&lt;=Assumptions!$D$14,0,IF(Y$2=Assumptions!$D$14+1,Condos_Impvt_Val*(1+Y$4),IF(Y$2&gt;Assumptions!$D$14,X76*(1+Y$3),0)))</f>
        <v>21208761.622091223</v>
      </c>
      <c r="Z76" s="58">
        <f>IF(Z$2&lt;=Assumptions!$D$14,0,IF(Z$2=Assumptions!$D$14+1,Condos_Impvt_Val*(1+Z$4),IF(Z$2&gt;Assumptions!$D$14,Y76*(1+Z$3),0)))</f>
        <v>21845024.47075396</v>
      </c>
      <c r="AA76" s="58">
        <f>IF(AA$2&lt;=Assumptions!$D$14,0,IF(AA$2=Assumptions!$D$14+1,Condos_Impvt_Val*(1+AA$4),IF(AA$2&gt;Assumptions!$D$14,Z76*(1+AA$3),0)))</f>
        <v>21845024.47075396</v>
      </c>
      <c r="AB76" s="58">
        <f>IF(AB$2&lt;=Assumptions!$D$14,0,IF(AB$2=Assumptions!$D$14+1,Condos_Impvt_Val*(1+AB$4),IF(AB$2&gt;Assumptions!$D$14,AA76*(1+AB$3),0)))</f>
        <v>21845024.47075396</v>
      </c>
      <c r="AC76" s="58">
        <f>IF(AC$2&lt;=Assumptions!$D$14,0,IF(AC$2=Assumptions!$D$14+1,Condos_Impvt_Val*(1+AC$4),IF(AC$2&gt;Assumptions!$D$14,AB76*(1+AC$3),0)))</f>
        <v>23155725.938999198</v>
      </c>
      <c r="AD76" s="58">
        <f>IF(AD$2&lt;=Assumptions!$D$14,0,IF(AD$2=Assumptions!$D$14+1,Condos_Impvt_Val*(1+AD$4),IF(AD$2&gt;Assumptions!$D$14,AC76*(1+AD$3),0)))</f>
        <v>23155725.938999198</v>
      </c>
      <c r="AE76" s="57">
        <f>IF(AE$2&lt;=Assumptions!$D$14,0,IF(AE$2=Assumptions!$D$14+1,Condos_Impvt_Val*(1+AE$4),IF(AE$2&gt;Assumptions!$D$14,AD76*(1+AE$3),0)))</f>
        <v>23155725.938999198</v>
      </c>
    </row>
    <row r="77" spans="1:31" outlineLevel="1" x14ac:dyDescent="0.25">
      <c r="A77" s="56" t="s">
        <v>60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4"/>
    </row>
    <row r="78" spans="1:31" outlineLevel="1" x14ac:dyDescent="0.25">
      <c r="A78" s="53" t="s">
        <v>59</v>
      </c>
      <c r="B78" s="52">
        <f t="shared" ref="B78:AE78" si="47">SUM(B74:B76)</f>
        <v>88655.35714285713</v>
      </c>
      <c r="C78" s="52">
        <f t="shared" si="47"/>
        <v>88655.35714285713</v>
      </c>
      <c r="D78" s="52">
        <f t="shared" si="47"/>
        <v>88655.35714285713</v>
      </c>
      <c r="E78" s="52">
        <f t="shared" si="47"/>
        <v>18607051.438214287</v>
      </c>
      <c r="F78" s="52">
        <f t="shared" si="47"/>
        <v>18607051.438214287</v>
      </c>
      <c r="G78" s="52">
        <f t="shared" si="47"/>
        <v>18607051.438214287</v>
      </c>
      <c r="H78" s="52">
        <f t="shared" si="47"/>
        <v>19162603.320646431</v>
      </c>
      <c r="I78" s="52">
        <f t="shared" si="47"/>
        <v>19162603.320646431</v>
      </c>
      <c r="J78" s="52">
        <f t="shared" si="47"/>
        <v>19162603.320646431</v>
      </c>
      <c r="K78" s="52">
        <f t="shared" si="47"/>
        <v>20307040.198456645</v>
      </c>
      <c r="L78" s="52">
        <f t="shared" si="47"/>
        <v>20307040.198456645</v>
      </c>
      <c r="M78" s="52">
        <f t="shared" si="47"/>
        <v>20307040.198456645</v>
      </c>
      <c r="N78" s="52">
        <f t="shared" si="47"/>
        <v>20913591.74369606</v>
      </c>
      <c r="O78" s="52">
        <f t="shared" si="47"/>
        <v>20913591.74369606</v>
      </c>
      <c r="P78" s="52">
        <f t="shared" si="47"/>
        <v>20913591.74369606</v>
      </c>
      <c r="Q78" s="52">
        <f t="shared" si="47"/>
        <v>22163087.926889252</v>
      </c>
      <c r="R78" s="52">
        <f t="shared" si="47"/>
        <v>22163087.926889252</v>
      </c>
      <c r="S78" s="52">
        <f t="shared" si="47"/>
        <v>22163087.926889252</v>
      </c>
      <c r="T78" s="52">
        <f t="shared" si="47"/>
        <v>22825320.903981645</v>
      </c>
      <c r="U78" s="52">
        <f t="shared" si="47"/>
        <v>22825320.903981645</v>
      </c>
      <c r="V78" s="52">
        <f t="shared" si="47"/>
        <v>22825320.903981645</v>
      </c>
      <c r="W78" s="52">
        <f t="shared" si="47"/>
        <v>24189520.836791974</v>
      </c>
      <c r="X78" s="52">
        <f t="shared" si="47"/>
        <v>24189520.836791974</v>
      </c>
      <c r="Y78" s="52">
        <f t="shared" si="47"/>
        <v>24189520.836791974</v>
      </c>
      <c r="Z78" s="52">
        <f t="shared" si="47"/>
        <v>24912546.801181447</v>
      </c>
      <c r="AA78" s="52">
        <f t="shared" si="47"/>
        <v>24912546.801181447</v>
      </c>
      <c r="AB78" s="52">
        <f t="shared" si="47"/>
        <v>24912546.801181447</v>
      </c>
      <c r="AC78" s="52">
        <f t="shared" si="47"/>
        <v>26401980.287823763</v>
      </c>
      <c r="AD78" s="52">
        <f t="shared" si="47"/>
        <v>26401980.287823763</v>
      </c>
      <c r="AE78" s="51">
        <f t="shared" si="47"/>
        <v>26401980.287823763</v>
      </c>
    </row>
    <row r="79" spans="1:31" ht="15.75" outlineLevel="1" thickBot="1" x14ac:dyDescent="0.3">
      <c r="A79" s="50" t="s">
        <v>58</v>
      </c>
      <c r="B79" s="49">
        <f t="shared" ref="B79:AE79" si="48">B78*0.35*Full_Res_Rate_A</f>
        <v>2497.6495918724995</v>
      </c>
      <c r="C79" s="49">
        <f t="shared" si="48"/>
        <v>2497.6495918724995</v>
      </c>
      <c r="D79" s="49">
        <f t="shared" si="48"/>
        <v>2497.6495918724995</v>
      </c>
      <c r="E79" s="49">
        <f t="shared" si="48"/>
        <v>524208.52984348813</v>
      </c>
      <c r="F79" s="49">
        <f t="shared" si="48"/>
        <v>524208.52984348813</v>
      </c>
      <c r="G79" s="49">
        <f t="shared" si="48"/>
        <v>524208.52984348813</v>
      </c>
      <c r="H79" s="49">
        <f t="shared" si="48"/>
        <v>539859.85625103663</v>
      </c>
      <c r="I79" s="49">
        <f t="shared" si="48"/>
        <v>539859.85625103663</v>
      </c>
      <c r="J79" s="49">
        <f t="shared" si="48"/>
        <v>539859.85625103663</v>
      </c>
      <c r="K79" s="49">
        <f t="shared" si="48"/>
        <v>572101.58865058643</v>
      </c>
      <c r="L79" s="49">
        <f t="shared" si="48"/>
        <v>572101.58865058643</v>
      </c>
      <c r="M79" s="49">
        <f t="shared" si="48"/>
        <v>572101.58865058643</v>
      </c>
      <c r="N79" s="49">
        <f t="shared" si="48"/>
        <v>589189.70682234783</v>
      </c>
      <c r="O79" s="49">
        <f t="shared" si="48"/>
        <v>589189.70682234783</v>
      </c>
      <c r="P79" s="49">
        <f t="shared" si="48"/>
        <v>589189.70682234783</v>
      </c>
      <c r="Q79" s="49">
        <f t="shared" si="48"/>
        <v>624391.23025617644</v>
      </c>
      <c r="R79" s="49">
        <f t="shared" si="48"/>
        <v>624391.23025617644</v>
      </c>
      <c r="S79" s="49">
        <f t="shared" si="48"/>
        <v>624391.23025617644</v>
      </c>
      <c r="T79" s="49">
        <f t="shared" si="48"/>
        <v>643048.03767610551</v>
      </c>
      <c r="U79" s="49">
        <f t="shared" si="48"/>
        <v>643048.03767610551</v>
      </c>
      <c r="V79" s="49">
        <f t="shared" si="48"/>
        <v>643048.03767610551</v>
      </c>
      <c r="W79" s="49">
        <f t="shared" si="48"/>
        <v>681481.06096115953</v>
      </c>
      <c r="X79" s="49">
        <f t="shared" si="48"/>
        <v>681481.06096115953</v>
      </c>
      <c r="Y79" s="49">
        <f t="shared" si="48"/>
        <v>681481.06096115953</v>
      </c>
      <c r="Z79" s="49">
        <f t="shared" si="48"/>
        <v>701850.56330223824</v>
      </c>
      <c r="AA79" s="49">
        <f t="shared" si="48"/>
        <v>701850.56330223824</v>
      </c>
      <c r="AB79" s="49">
        <f t="shared" si="48"/>
        <v>701850.56330223824</v>
      </c>
      <c r="AC79" s="49">
        <f t="shared" si="48"/>
        <v>743811.73812486022</v>
      </c>
      <c r="AD79" s="49">
        <f t="shared" si="48"/>
        <v>743811.73812486022</v>
      </c>
      <c r="AE79" s="48">
        <f t="shared" si="48"/>
        <v>743811.73812486022</v>
      </c>
    </row>
    <row r="80" spans="1:31" outlineLevel="1" x14ac:dyDescent="0.25">
      <c r="A80" s="47" t="s">
        <v>57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5"/>
    </row>
    <row r="81" spans="1:31" outlineLevel="1" x14ac:dyDescent="0.25">
      <c r="A81" s="43" t="s">
        <v>56</v>
      </c>
      <c r="B81" s="41">
        <f t="shared" ref="B81:AE81" si="49">IF(AND(B72=0,B73=0),(B74*0.35*School_Res_Rate_A)+(B75*0.35*School_Res_Rate_A)+(B76*0.35*School_Res_Rate_A),IF(AND(B72=0,B73&gt;0),(B74*0.35*School_Res_Rate_A)+(B75*0.35*School_Res_Rate_A)+(B76*Residential_Non_abated*0.35*School_Res_Rate_A),IF(AND(B72&gt;0,B73=0),(B74*0.35*School_Res_Rate_A)+(B75*Land_Growth_Non_abated*0.35*School_Res_Rate_A)+(B76*0.35*School_Res_Rate_A),IF(AND(B72&gt;0,B73&gt;0),(B74*0.35*School_Res_Rate_A)+(B75*Land_Growth_Non_abated*0.35*School_Res_Rate_A)+(B76*Residential_Non_abated*0.35*School_Res_Rate_A),0))))</f>
        <v>1792.6518901199997</v>
      </c>
      <c r="C81" s="41">
        <f t="shared" si="49"/>
        <v>1792.6518901199997</v>
      </c>
      <c r="D81" s="41">
        <f t="shared" si="49"/>
        <v>1792.6518901199997</v>
      </c>
      <c r="E81" s="41">
        <f t="shared" si="49"/>
        <v>1792.6518901199997</v>
      </c>
      <c r="F81" s="41">
        <f t="shared" si="49"/>
        <v>1792.6518901199997</v>
      </c>
      <c r="G81" s="41">
        <f t="shared" si="49"/>
        <v>1792.6518901199997</v>
      </c>
      <c r="H81" s="41">
        <f t="shared" si="49"/>
        <v>1792.6518901199997</v>
      </c>
      <c r="I81" s="41">
        <f t="shared" si="49"/>
        <v>1792.6518901199997</v>
      </c>
      <c r="J81" s="41">
        <f t="shared" si="49"/>
        <v>1792.6518901199997</v>
      </c>
      <c r="K81" s="41">
        <f t="shared" si="49"/>
        <v>1792.6518901199997</v>
      </c>
      <c r="L81" s="41">
        <f t="shared" si="49"/>
        <v>50851.651101032185</v>
      </c>
      <c r="M81" s="41">
        <f t="shared" si="49"/>
        <v>50851.651101032185</v>
      </c>
      <c r="N81" s="41">
        <f t="shared" si="49"/>
        <v>52323.421077359555</v>
      </c>
      <c r="O81" s="41">
        <f t="shared" si="49"/>
        <v>52323.421077359555</v>
      </c>
      <c r="P81" s="41">
        <f t="shared" si="49"/>
        <v>52323.421077359555</v>
      </c>
      <c r="Q81" s="41">
        <f t="shared" si="49"/>
        <v>55355.267228593919</v>
      </c>
      <c r="R81" s="41">
        <f t="shared" si="49"/>
        <v>55355.267228593919</v>
      </c>
      <c r="S81" s="41">
        <f t="shared" si="49"/>
        <v>55355.267228593919</v>
      </c>
      <c r="T81" s="41">
        <f t="shared" si="49"/>
        <v>461538.43354535458</v>
      </c>
      <c r="U81" s="41">
        <f t="shared" si="49"/>
        <v>461538.43354535458</v>
      </c>
      <c r="V81" s="41">
        <f t="shared" si="49"/>
        <v>461538.43354535458</v>
      </c>
      <c r="W81" s="41">
        <f t="shared" si="49"/>
        <v>489123.18044466863</v>
      </c>
      <c r="X81" s="41">
        <f t="shared" si="49"/>
        <v>489123.18044466863</v>
      </c>
      <c r="Y81" s="41">
        <f t="shared" si="49"/>
        <v>489123.18044466863</v>
      </c>
      <c r="Z81" s="41">
        <f t="shared" si="49"/>
        <v>503743.09630130517</v>
      </c>
      <c r="AA81" s="41">
        <f t="shared" si="49"/>
        <v>503743.09630130517</v>
      </c>
      <c r="AB81" s="41">
        <f t="shared" si="49"/>
        <v>503743.09630130517</v>
      </c>
      <c r="AC81" s="41">
        <f t="shared" si="49"/>
        <v>533860.12296597625</v>
      </c>
      <c r="AD81" s="41">
        <f t="shared" si="49"/>
        <v>533860.12296597625</v>
      </c>
      <c r="AE81" s="40">
        <f t="shared" si="49"/>
        <v>533860.12296597625</v>
      </c>
    </row>
    <row r="82" spans="1:31" outlineLevel="1" x14ac:dyDescent="0.25">
      <c r="A82" s="43" t="s">
        <v>55</v>
      </c>
      <c r="B82" s="41">
        <f t="shared" ref="B82:AE82" si="50">(B74*0.35*Non_School_Res_Rate_A)</f>
        <v>704.99770175249978</v>
      </c>
      <c r="C82" s="41">
        <f t="shared" si="50"/>
        <v>704.99770175249978</v>
      </c>
      <c r="D82" s="41">
        <f t="shared" si="50"/>
        <v>704.99770175249978</v>
      </c>
      <c r="E82" s="41">
        <f t="shared" si="50"/>
        <v>704.99770175249978</v>
      </c>
      <c r="F82" s="41">
        <f t="shared" si="50"/>
        <v>704.99770175249978</v>
      </c>
      <c r="G82" s="41">
        <f t="shared" si="50"/>
        <v>704.99770175249978</v>
      </c>
      <c r="H82" s="41">
        <f t="shared" si="50"/>
        <v>704.99770175249978</v>
      </c>
      <c r="I82" s="41">
        <f t="shared" si="50"/>
        <v>704.99770175249978</v>
      </c>
      <c r="J82" s="41">
        <f t="shared" si="50"/>
        <v>704.99770175249978</v>
      </c>
      <c r="K82" s="41">
        <f t="shared" si="50"/>
        <v>704.99770175249978</v>
      </c>
      <c r="L82" s="41">
        <f t="shared" si="50"/>
        <v>704.99770175249978</v>
      </c>
      <c r="M82" s="41">
        <f t="shared" si="50"/>
        <v>704.99770175249978</v>
      </c>
      <c r="N82" s="41">
        <f t="shared" si="50"/>
        <v>704.99770175249978</v>
      </c>
      <c r="O82" s="41">
        <f t="shared" si="50"/>
        <v>704.99770175249978</v>
      </c>
      <c r="P82" s="41">
        <f t="shared" si="50"/>
        <v>704.99770175249978</v>
      </c>
      <c r="Q82" s="41">
        <f t="shared" si="50"/>
        <v>704.99770175249978</v>
      </c>
      <c r="R82" s="41">
        <f t="shared" si="50"/>
        <v>704.99770175249978</v>
      </c>
      <c r="S82" s="41">
        <f t="shared" si="50"/>
        <v>704.99770175249978</v>
      </c>
      <c r="T82" s="41">
        <f t="shared" si="50"/>
        <v>704.99770175249978</v>
      </c>
      <c r="U82" s="41">
        <f t="shared" si="50"/>
        <v>704.99770175249978</v>
      </c>
      <c r="V82" s="41">
        <f t="shared" si="50"/>
        <v>704.99770175249978</v>
      </c>
      <c r="W82" s="41">
        <f t="shared" si="50"/>
        <v>704.99770175249978</v>
      </c>
      <c r="X82" s="41">
        <f t="shared" si="50"/>
        <v>704.99770175249978</v>
      </c>
      <c r="Y82" s="41">
        <f t="shared" si="50"/>
        <v>704.99770175249978</v>
      </c>
      <c r="Z82" s="41">
        <f t="shared" si="50"/>
        <v>704.99770175249978</v>
      </c>
      <c r="AA82" s="41">
        <f t="shared" si="50"/>
        <v>704.99770175249978</v>
      </c>
      <c r="AB82" s="41">
        <f t="shared" si="50"/>
        <v>704.99770175249978</v>
      </c>
      <c r="AC82" s="41">
        <f t="shared" si="50"/>
        <v>704.99770175249978</v>
      </c>
      <c r="AD82" s="41">
        <f t="shared" si="50"/>
        <v>704.99770175249978</v>
      </c>
      <c r="AE82" s="40">
        <f t="shared" si="50"/>
        <v>704.99770175249978</v>
      </c>
    </row>
    <row r="83" spans="1:31" outlineLevel="1" x14ac:dyDescent="0.25">
      <c r="A83" s="43" t="s">
        <v>54</v>
      </c>
      <c r="B83" s="41">
        <f t="shared" ref="B83:AE83" si="51">IF(AND(B72=0,B73=0),(B75*0.35*Non_School_Res_Rate_A)+(B76*0.35*Non_School_Res_Rate_A),IF(AND(B72=0,B73&gt;0),(B75*0.35*Non_School_Res_Rate_A)+(B76*Residential_Non_abated*0.35*Non_School_Res_Rate_A),IF(AND(B72&gt;0,B73=0),(B75*Land_Growth_Non_abated*0.35*Non_School_Res_Rate_A)+(B76*Residential_Non_abated*0.35*Non_School_Res_Rate_A),IF(AND(B72&gt;0,B73&gt;0),(B75*Land_Growth_Non_abated*0.35*Non_School_Res_Rate_A)+(B76*Residential_Non_abated*0.35*Non_School_Res_Rate_A),0))))</f>
        <v>0</v>
      </c>
      <c r="C83" s="41">
        <f t="shared" si="51"/>
        <v>0</v>
      </c>
      <c r="D83" s="41">
        <f t="shared" si="51"/>
        <v>0</v>
      </c>
      <c r="E83" s="41">
        <f t="shared" si="51"/>
        <v>0</v>
      </c>
      <c r="F83" s="41">
        <f t="shared" si="51"/>
        <v>0</v>
      </c>
      <c r="G83" s="41">
        <f t="shared" si="51"/>
        <v>0</v>
      </c>
      <c r="H83" s="41">
        <f t="shared" si="51"/>
        <v>0</v>
      </c>
      <c r="I83" s="41">
        <f t="shared" si="51"/>
        <v>0</v>
      </c>
      <c r="J83" s="41">
        <f t="shared" si="51"/>
        <v>0</v>
      </c>
      <c r="K83" s="41">
        <f t="shared" si="51"/>
        <v>0</v>
      </c>
      <c r="L83" s="41">
        <f t="shared" si="51"/>
        <v>19293.473476133495</v>
      </c>
      <c r="M83" s="41">
        <f t="shared" si="51"/>
        <v>19293.473476133495</v>
      </c>
      <c r="N83" s="41">
        <f t="shared" si="51"/>
        <v>19872.277680417501</v>
      </c>
      <c r="O83" s="41">
        <f t="shared" si="51"/>
        <v>19872.277680417501</v>
      </c>
      <c r="P83" s="41">
        <f t="shared" si="51"/>
        <v>19872.277680417501</v>
      </c>
      <c r="Q83" s="41">
        <f t="shared" si="51"/>
        <v>21064.614341242548</v>
      </c>
      <c r="R83" s="41">
        <f t="shared" si="51"/>
        <v>21064.614341242548</v>
      </c>
      <c r="S83" s="41">
        <f t="shared" si="51"/>
        <v>21064.614341242548</v>
      </c>
      <c r="T83" s="41">
        <f t="shared" si="51"/>
        <v>180804.60642899855</v>
      </c>
      <c r="U83" s="41">
        <f t="shared" si="51"/>
        <v>180804.60642899855</v>
      </c>
      <c r="V83" s="41">
        <f t="shared" si="51"/>
        <v>180804.60642899855</v>
      </c>
      <c r="W83" s="41">
        <f t="shared" si="51"/>
        <v>191652.88281473846</v>
      </c>
      <c r="X83" s="41">
        <f t="shared" si="51"/>
        <v>191652.88281473846</v>
      </c>
      <c r="Y83" s="41">
        <f t="shared" si="51"/>
        <v>191652.88281473846</v>
      </c>
      <c r="Z83" s="41">
        <f t="shared" si="51"/>
        <v>197402.46929918067</v>
      </c>
      <c r="AA83" s="41">
        <f t="shared" si="51"/>
        <v>197402.46929918067</v>
      </c>
      <c r="AB83" s="41">
        <f t="shared" si="51"/>
        <v>197402.46929918067</v>
      </c>
      <c r="AC83" s="41">
        <f t="shared" si="51"/>
        <v>209246.61745713151</v>
      </c>
      <c r="AD83" s="41">
        <f t="shared" si="51"/>
        <v>209246.61745713151</v>
      </c>
      <c r="AE83" s="40">
        <f t="shared" si="51"/>
        <v>209246.61745713151</v>
      </c>
    </row>
    <row r="84" spans="1:31" outlineLevel="1" x14ac:dyDescent="0.25">
      <c r="A84" s="43" t="s">
        <v>53</v>
      </c>
      <c r="B84" s="41">
        <f t="shared" ref="B84:AE84" si="52">IF(B72&gt;0,B75*0.35*Land_Growth_CDC*Full_Res_Rate_A,0)</f>
        <v>0</v>
      </c>
      <c r="C84" s="41">
        <f t="shared" si="52"/>
        <v>0</v>
      </c>
      <c r="D84" s="41">
        <f t="shared" si="52"/>
        <v>0</v>
      </c>
      <c r="E84" s="41">
        <f t="shared" si="52"/>
        <v>31302.652815096935</v>
      </c>
      <c r="F84" s="41">
        <f t="shared" si="52"/>
        <v>31302.652815096935</v>
      </c>
      <c r="G84" s="41">
        <f t="shared" si="52"/>
        <v>31302.652815096935</v>
      </c>
      <c r="H84" s="41">
        <f t="shared" si="52"/>
        <v>32241.732399549845</v>
      </c>
      <c r="I84" s="41">
        <f t="shared" si="52"/>
        <v>32241.732399549845</v>
      </c>
      <c r="J84" s="41">
        <f t="shared" si="52"/>
        <v>32241.732399549845</v>
      </c>
      <c r="K84" s="41">
        <f t="shared" si="52"/>
        <v>34176.236343522833</v>
      </c>
      <c r="L84" s="41">
        <f t="shared" si="52"/>
        <v>0</v>
      </c>
      <c r="M84" s="41">
        <f t="shared" si="52"/>
        <v>0</v>
      </c>
      <c r="N84" s="41">
        <f t="shared" si="52"/>
        <v>0</v>
      </c>
      <c r="O84" s="41">
        <f t="shared" si="52"/>
        <v>0</v>
      </c>
      <c r="P84" s="41">
        <f t="shared" si="52"/>
        <v>0</v>
      </c>
      <c r="Q84" s="41">
        <f t="shared" si="52"/>
        <v>0</v>
      </c>
      <c r="R84" s="41">
        <f t="shared" si="52"/>
        <v>0</v>
      </c>
      <c r="S84" s="41">
        <f t="shared" si="52"/>
        <v>0</v>
      </c>
      <c r="T84" s="41">
        <f t="shared" si="52"/>
        <v>0</v>
      </c>
      <c r="U84" s="41">
        <f t="shared" si="52"/>
        <v>0</v>
      </c>
      <c r="V84" s="41">
        <f t="shared" si="52"/>
        <v>0</v>
      </c>
      <c r="W84" s="41">
        <f t="shared" si="52"/>
        <v>0</v>
      </c>
      <c r="X84" s="41">
        <f t="shared" si="52"/>
        <v>0</v>
      </c>
      <c r="Y84" s="41">
        <f t="shared" si="52"/>
        <v>0</v>
      </c>
      <c r="Z84" s="41">
        <f t="shared" si="52"/>
        <v>0</v>
      </c>
      <c r="AA84" s="41">
        <f t="shared" si="52"/>
        <v>0</v>
      </c>
      <c r="AB84" s="41">
        <f t="shared" si="52"/>
        <v>0</v>
      </c>
      <c r="AC84" s="41">
        <f t="shared" si="52"/>
        <v>0</v>
      </c>
      <c r="AD84" s="41">
        <f t="shared" si="52"/>
        <v>0</v>
      </c>
      <c r="AE84" s="40">
        <f t="shared" si="52"/>
        <v>0</v>
      </c>
    </row>
    <row r="85" spans="1:31" outlineLevel="1" x14ac:dyDescent="0.25">
      <c r="A85" s="44" t="s">
        <v>52</v>
      </c>
      <c r="B85" s="41">
        <f t="shared" ref="B85:AE85" si="53">IF(B73&gt;0,B76*0.35*Residential_CDC*Full_Res_Rate_A,0)</f>
        <v>0</v>
      </c>
      <c r="C85" s="41">
        <f t="shared" si="53"/>
        <v>0</v>
      </c>
      <c r="D85" s="41">
        <f t="shared" si="53"/>
        <v>0</v>
      </c>
      <c r="E85" s="41">
        <f t="shared" si="53"/>
        <v>229552.78731071088</v>
      </c>
      <c r="F85" s="41">
        <f t="shared" si="53"/>
        <v>229552.78731071088</v>
      </c>
      <c r="G85" s="41">
        <f t="shared" si="53"/>
        <v>229552.78731071088</v>
      </c>
      <c r="H85" s="41">
        <f t="shared" si="53"/>
        <v>236439.37093003222</v>
      </c>
      <c r="I85" s="41">
        <f t="shared" si="53"/>
        <v>236439.37093003222</v>
      </c>
      <c r="J85" s="41">
        <f t="shared" si="53"/>
        <v>236439.37093003222</v>
      </c>
      <c r="K85" s="41">
        <f t="shared" si="53"/>
        <v>250625.73318583416</v>
      </c>
      <c r="L85" s="41">
        <f t="shared" si="53"/>
        <v>250625.73318583416</v>
      </c>
      <c r="M85" s="41">
        <f t="shared" si="53"/>
        <v>250625.73318583416</v>
      </c>
      <c r="N85" s="41">
        <f t="shared" si="53"/>
        <v>258144.50518140919</v>
      </c>
      <c r="O85" s="41">
        <f t="shared" si="53"/>
        <v>258144.50518140919</v>
      </c>
      <c r="P85" s="41">
        <f t="shared" si="53"/>
        <v>258144.50518140919</v>
      </c>
      <c r="Q85" s="41">
        <f t="shared" si="53"/>
        <v>273633.17549229373</v>
      </c>
      <c r="R85" s="41">
        <f t="shared" si="53"/>
        <v>273633.17549229373</v>
      </c>
      <c r="S85" s="41">
        <f t="shared" si="53"/>
        <v>273633.17549229373</v>
      </c>
      <c r="T85" s="41">
        <f t="shared" si="53"/>
        <v>0</v>
      </c>
      <c r="U85" s="41">
        <f t="shared" si="53"/>
        <v>0</v>
      </c>
      <c r="V85" s="41">
        <f t="shared" si="53"/>
        <v>0</v>
      </c>
      <c r="W85" s="41">
        <f t="shared" si="53"/>
        <v>0</v>
      </c>
      <c r="X85" s="41">
        <f t="shared" si="53"/>
        <v>0</v>
      </c>
      <c r="Y85" s="41">
        <f t="shared" si="53"/>
        <v>0</v>
      </c>
      <c r="Z85" s="41">
        <f t="shared" si="53"/>
        <v>0</v>
      </c>
      <c r="AA85" s="41">
        <f t="shared" si="53"/>
        <v>0</v>
      </c>
      <c r="AB85" s="41">
        <f t="shared" si="53"/>
        <v>0</v>
      </c>
      <c r="AC85" s="41">
        <f t="shared" si="53"/>
        <v>0</v>
      </c>
      <c r="AD85" s="41">
        <f t="shared" si="53"/>
        <v>0</v>
      </c>
      <c r="AE85" s="40">
        <f t="shared" si="53"/>
        <v>0</v>
      </c>
    </row>
    <row r="86" spans="1:31" outlineLevel="1" x14ac:dyDescent="0.25">
      <c r="A86" s="43" t="s">
        <v>51</v>
      </c>
      <c r="B86" s="119"/>
      <c r="C86" s="119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0"/>
    </row>
    <row r="87" spans="1:31" outlineLevel="1" x14ac:dyDescent="0.25">
      <c r="A87" s="42" t="s">
        <v>50</v>
      </c>
      <c r="B87" s="41">
        <f t="shared" ref="B87:AE87" si="54">IF(B72=0,IF(B73=0,0,(B76*Residential_Retained*0.35*Full_Res_Rate_A)),((B75*Land_Growth_Retained*0.35*Full_Res_Rate_A)+IF(B73=0,0,(B76*Residential_Retained*0.35*Full_Res_Rate_A))))</f>
        <v>0</v>
      </c>
      <c r="C87" s="41">
        <f t="shared" si="54"/>
        <v>0</v>
      </c>
      <c r="D87" s="41">
        <f t="shared" si="54"/>
        <v>0</v>
      </c>
      <c r="E87" s="41">
        <f t="shared" si="54"/>
        <v>260855.4401258078</v>
      </c>
      <c r="F87" s="41">
        <f t="shared" si="54"/>
        <v>260855.4401258078</v>
      </c>
      <c r="G87" s="41">
        <f t="shared" si="54"/>
        <v>260855.4401258078</v>
      </c>
      <c r="H87" s="41">
        <f t="shared" si="54"/>
        <v>268681.10332958208</v>
      </c>
      <c r="I87" s="41">
        <f t="shared" si="54"/>
        <v>268681.10332958208</v>
      </c>
      <c r="J87" s="41">
        <f t="shared" si="54"/>
        <v>268681.10332958208</v>
      </c>
      <c r="K87" s="41">
        <f t="shared" si="54"/>
        <v>284801.96952935698</v>
      </c>
      <c r="L87" s="41">
        <f t="shared" si="54"/>
        <v>250625.73318583416</v>
      </c>
      <c r="M87" s="41">
        <f t="shared" si="54"/>
        <v>250625.73318583416</v>
      </c>
      <c r="N87" s="41">
        <f t="shared" si="54"/>
        <v>258144.50518140919</v>
      </c>
      <c r="O87" s="41">
        <f t="shared" si="54"/>
        <v>258144.50518140919</v>
      </c>
      <c r="P87" s="41">
        <f t="shared" si="54"/>
        <v>258144.50518140919</v>
      </c>
      <c r="Q87" s="41">
        <f t="shared" si="54"/>
        <v>273633.17549229373</v>
      </c>
      <c r="R87" s="41">
        <f t="shared" si="54"/>
        <v>273633.17549229373</v>
      </c>
      <c r="S87" s="41">
        <f t="shared" si="54"/>
        <v>273633.17549229373</v>
      </c>
      <c r="T87" s="41">
        <f t="shared" si="54"/>
        <v>0</v>
      </c>
      <c r="U87" s="41">
        <f t="shared" si="54"/>
        <v>0</v>
      </c>
      <c r="V87" s="41">
        <f t="shared" si="54"/>
        <v>0</v>
      </c>
      <c r="W87" s="41">
        <f t="shared" si="54"/>
        <v>0</v>
      </c>
      <c r="X87" s="41">
        <f t="shared" si="54"/>
        <v>0</v>
      </c>
      <c r="Y87" s="41">
        <f t="shared" si="54"/>
        <v>0</v>
      </c>
      <c r="Z87" s="41">
        <f t="shared" si="54"/>
        <v>0</v>
      </c>
      <c r="AA87" s="41">
        <f t="shared" si="54"/>
        <v>0</v>
      </c>
      <c r="AB87" s="41">
        <f t="shared" si="54"/>
        <v>0</v>
      </c>
      <c r="AC87" s="41">
        <f t="shared" si="54"/>
        <v>0</v>
      </c>
      <c r="AD87" s="41">
        <f t="shared" si="54"/>
        <v>0</v>
      </c>
      <c r="AE87" s="40">
        <f t="shared" si="54"/>
        <v>0</v>
      </c>
    </row>
    <row r="88" spans="1:31" x14ac:dyDescent="0.25">
      <c r="A88" s="39" t="s">
        <v>49</v>
      </c>
      <c r="B88" s="17">
        <f t="shared" ref="B88:AE88" si="55">SUM(B81:B86)</f>
        <v>2497.6495918724995</v>
      </c>
      <c r="C88" s="17">
        <f t="shared" si="55"/>
        <v>2497.6495918724995</v>
      </c>
      <c r="D88" s="17">
        <f t="shared" si="55"/>
        <v>2497.6495918724995</v>
      </c>
      <c r="E88" s="17">
        <f t="shared" si="55"/>
        <v>263353.0897176803</v>
      </c>
      <c r="F88" s="17">
        <f t="shared" si="55"/>
        <v>263353.0897176803</v>
      </c>
      <c r="G88" s="17">
        <f t="shared" si="55"/>
        <v>263353.0897176803</v>
      </c>
      <c r="H88" s="17">
        <f t="shared" si="55"/>
        <v>271178.75292145455</v>
      </c>
      <c r="I88" s="17">
        <f t="shared" si="55"/>
        <v>271178.75292145455</v>
      </c>
      <c r="J88" s="17">
        <f t="shared" si="55"/>
        <v>271178.75292145455</v>
      </c>
      <c r="K88" s="17">
        <f t="shared" si="55"/>
        <v>287299.61912122951</v>
      </c>
      <c r="L88" s="17">
        <f t="shared" si="55"/>
        <v>321475.85546475236</v>
      </c>
      <c r="M88" s="17">
        <f t="shared" si="55"/>
        <v>321475.85546475236</v>
      </c>
      <c r="N88" s="17">
        <f t="shared" si="55"/>
        <v>331045.20164093876</v>
      </c>
      <c r="O88" s="17">
        <f t="shared" si="55"/>
        <v>331045.20164093876</v>
      </c>
      <c r="P88" s="17">
        <f t="shared" si="55"/>
        <v>331045.20164093876</v>
      </c>
      <c r="Q88" s="17">
        <f t="shared" si="55"/>
        <v>350758.05476388271</v>
      </c>
      <c r="R88" s="17">
        <f t="shared" si="55"/>
        <v>350758.05476388271</v>
      </c>
      <c r="S88" s="17">
        <f t="shared" si="55"/>
        <v>350758.05476388271</v>
      </c>
      <c r="T88" s="17">
        <f t="shared" si="55"/>
        <v>643048.03767610562</v>
      </c>
      <c r="U88" s="17">
        <f t="shared" si="55"/>
        <v>643048.03767610562</v>
      </c>
      <c r="V88" s="17">
        <f t="shared" si="55"/>
        <v>643048.03767610562</v>
      </c>
      <c r="W88" s="17">
        <f t="shared" si="55"/>
        <v>681481.06096115964</v>
      </c>
      <c r="X88" s="17">
        <f t="shared" si="55"/>
        <v>681481.06096115964</v>
      </c>
      <c r="Y88" s="17">
        <f t="shared" si="55"/>
        <v>681481.06096115964</v>
      </c>
      <c r="Z88" s="17">
        <f t="shared" si="55"/>
        <v>701850.56330223836</v>
      </c>
      <c r="AA88" s="17">
        <f t="shared" si="55"/>
        <v>701850.56330223836</v>
      </c>
      <c r="AB88" s="17">
        <f t="shared" si="55"/>
        <v>701850.56330223836</v>
      </c>
      <c r="AC88" s="17">
        <f t="shared" si="55"/>
        <v>743811.73812486022</v>
      </c>
      <c r="AD88" s="17">
        <f t="shared" si="55"/>
        <v>743811.73812486022</v>
      </c>
      <c r="AE88" s="38">
        <f t="shared" si="55"/>
        <v>743811.73812486022</v>
      </c>
    </row>
    <row r="89" spans="1:31" x14ac:dyDescent="0.25">
      <c r="A89" s="37" t="s">
        <v>46</v>
      </c>
      <c r="B89" s="36">
        <f t="shared" ref="B89:AE89" si="56">IF(B90=0,SUM(B83:B86),"ERROR")</f>
        <v>0</v>
      </c>
      <c r="C89" s="36">
        <f t="shared" si="56"/>
        <v>0</v>
      </c>
      <c r="D89" s="36">
        <f t="shared" si="56"/>
        <v>0</v>
      </c>
      <c r="E89" s="36">
        <f t="shared" si="56"/>
        <v>260855.4401258078</v>
      </c>
      <c r="F89" s="36">
        <f t="shared" si="56"/>
        <v>260855.4401258078</v>
      </c>
      <c r="G89" s="36">
        <f t="shared" si="56"/>
        <v>260855.4401258078</v>
      </c>
      <c r="H89" s="36">
        <f t="shared" si="56"/>
        <v>268681.10332958208</v>
      </c>
      <c r="I89" s="36">
        <f t="shared" si="56"/>
        <v>268681.10332958208</v>
      </c>
      <c r="J89" s="36">
        <f t="shared" si="56"/>
        <v>268681.10332958208</v>
      </c>
      <c r="K89" s="36">
        <f t="shared" si="56"/>
        <v>284801.96952935698</v>
      </c>
      <c r="L89" s="36">
        <f t="shared" si="56"/>
        <v>269919.20666196768</v>
      </c>
      <c r="M89" s="36">
        <f t="shared" si="56"/>
        <v>269919.20666196768</v>
      </c>
      <c r="N89" s="36">
        <f t="shared" si="56"/>
        <v>278016.78286182671</v>
      </c>
      <c r="O89" s="36">
        <f t="shared" si="56"/>
        <v>278016.78286182671</v>
      </c>
      <c r="P89" s="36">
        <f t="shared" si="56"/>
        <v>278016.78286182671</v>
      </c>
      <c r="Q89" s="36">
        <f t="shared" si="56"/>
        <v>294697.78983353626</v>
      </c>
      <c r="R89" s="36">
        <f t="shared" si="56"/>
        <v>294697.78983353626</v>
      </c>
      <c r="S89" s="36">
        <f t="shared" si="56"/>
        <v>294697.78983353626</v>
      </c>
      <c r="T89" s="36">
        <f t="shared" si="56"/>
        <v>180804.60642899855</v>
      </c>
      <c r="U89" s="36">
        <f t="shared" si="56"/>
        <v>180804.60642899855</v>
      </c>
      <c r="V89" s="36">
        <f t="shared" si="56"/>
        <v>180804.60642899855</v>
      </c>
      <c r="W89" s="36">
        <f t="shared" si="56"/>
        <v>191652.88281473846</v>
      </c>
      <c r="X89" s="36">
        <f t="shared" si="56"/>
        <v>191652.88281473846</v>
      </c>
      <c r="Y89" s="36">
        <f t="shared" si="56"/>
        <v>191652.88281473846</v>
      </c>
      <c r="Z89" s="36">
        <f t="shared" si="56"/>
        <v>197402.46929918067</v>
      </c>
      <c r="AA89" s="36">
        <f t="shared" si="56"/>
        <v>197402.46929918067</v>
      </c>
      <c r="AB89" s="36">
        <f t="shared" si="56"/>
        <v>197402.46929918067</v>
      </c>
      <c r="AC89" s="36">
        <f t="shared" si="56"/>
        <v>209246.61745713151</v>
      </c>
      <c r="AD89" s="36">
        <f t="shared" si="56"/>
        <v>209246.61745713151</v>
      </c>
      <c r="AE89" s="35">
        <f t="shared" si="56"/>
        <v>209246.61745713151</v>
      </c>
    </row>
    <row r="90" spans="1:31" ht="15.75" thickBot="1" x14ac:dyDescent="0.3">
      <c r="A90" s="34" t="s">
        <v>48</v>
      </c>
      <c r="B90" s="33">
        <f t="shared" ref="B90:AE90" si="57">SUM(B81:B85,B87)-B79</f>
        <v>0</v>
      </c>
      <c r="C90" s="33">
        <f t="shared" si="57"/>
        <v>0</v>
      </c>
      <c r="D90" s="33">
        <f t="shared" si="57"/>
        <v>0</v>
      </c>
      <c r="E90" s="33">
        <f t="shared" si="57"/>
        <v>0</v>
      </c>
      <c r="F90" s="33">
        <f t="shared" si="57"/>
        <v>0</v>
      </c>
      <c r="G90" s="33">
        <f t="shared" si="57"/>
        <v>0</v>
      </c>
      <c r="H90" s="33">
        <f t="shared" si="57"/>
        <v>0</v>
      </c>
      <c r="I90" s="33">
        <f t="shared" si="57"/>
        <v>0</v>
      </c>
      <c r="J90" s="33">
        <f t="shared" si="57"/>
        <v>0</v>
      </c>
      <c r="K90" s="33">
        <f t="shared" si="57"/>
        <v>0</v>
      </c>
      <c r="L90" s="33">
        <f t="shared" si="57"/>
        <v>0</v>
      </c>
      <c r="M90" s="33">
        <f t="shared" si="57"/>
        <v>0</v>
      </c>
      <c r="N90" s="33">
        <f t="shared" si="57"/>
        <v>0</v>
      </c>
      <c r="O90" s="33">
        <f t="shared" si="57"/>
        <v>0</v>
      </c>
      <c r="P90" s="33">
        <f t="shared" si="57"/>
        <v>0</v>
      </c>
      <c r="Q90" s="33">
        <f t="shared" si="57"/>
        <v>0</v>
      </c>
      <c r="R90" s="33">
        <f t="shared" si="57"/>
        <v>0</v>
      </c>
      <c r="S90" s="33">
        <f t="shared" si="57"/>
        <v>0</v>
      </c>
      <c r="T90" s="33">
        <f t="shared" si="57"/>
        <v>0</v>
      </c>
      <c r="U90" s="33">
        <f t="shared" si="57"/>
        <v>0</v>
      </c>
      <c r="V90" s="33">
        <f t="shared" si="57"/>
        <v>0</v>
      </c>
      <c r="W90" s="33">
        <f t="shared" si="57"/>
        <v>0</v>
      </c>
      <c r="X90" s="33">
        <f t="shared" si="57"/>
        <v>0</v>
      </c>
      <c r="Y90" s="33">
        <f t="shared" si="57"/>
        <v>0</v>
      </c>
      <c r="Z90" s="33">
        <f t="shared" si="57"/>
        <v>0</v>
      </c>
      <c r="AA90" s="33">
        <f t="shared" si="57"/>
        <v>0</v>
      </c>
      <c r="AB90" s="33">
        <f t="shared" si="57"/>
        <v>0</v>
      </c>
      <c r="AC90" s="33">
        <f t="shared" si="57"/>
        <v>0</v>
      </c>
      <c r="AD90" s="33">
        <f t="shared" si="57"/>
        <v>0</v>
      </c>
      <c r="AE90" s="32">
        <f t="shared" si="57"/>
        <v>0</v>
      </c>
    </row>
    <row r="91" spans="1:31" ht="7.5" customHeight="1" x14ac:dyDescent="0.25"/>
    <row r="92" spans="1:31" ht="15.75" thickBot="1" x14ac:dyDescent="0.3">
      <c r="A92" s="16" t="s">
        <v>47</v>
      </c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</row>
    <row r="93" spans="1:31" x14ac:dyDescent="0.25">
      <c r="A93" s="115" t="str">
        <f>A6</f>
        <v>Apartments</v>
      </c>
      <c r="B93" s="122">
        <f>Calculations!B24</f>
        <v>153901.28384972038</v>
      </c>
      <c r="C93" s="122">
        <f>Calculations!C24</f>
        <v>307802.56769944075</v>
      </c>
      <c r="D93" s="122">
        <f>Calculations!D24</f>
        <v>615605.13539888151</v>
      </c>
      <c r="E93" s="122">
        <f>Calculations!E24</f>
        <v>652541.44352281443</v>
      </c>
      <c r="F93" s="122">
        <f>Calculations!F24</f>
        <v>652541.44352281443</v>
      </c>
      <c r="G93" s="122">
        <f>Calculations!G24</f>
        <v>652541.44352281443</v>
      </c>
      <c r="H93" s="122">
        <f>Calculations!H24</f>
        <v>672117.68682849873</v>
      </c>
      <c r="I93" s="122">
        <f>Calculations!I24</f>
        <v>672117.68682849873</v>
      </c>
      <c r="J93" s="122">
        <f>Calculations!J24</f>
        <v>672117.68682849873</v>
      </c>
      <c r="K93" s="122">
        <f>Calculations!K24</f>
        <v>712444.74803820869</v>
      </c>
      <c r="L93" s="122">
        <f>Calculations!L24</f>
        <v>671814.79040480871</v>
      </c>
      <c r="M93" s="122">
        <f>Calculations!M24</f>
        <v>671814.79040480871</v>
      </c>
      <c r="N93" s="122">
        <f>Calculations!N24</f>
        <v>691969.23411695298</v>
      </c>
      <c r="O93" s="122">
        <f>Calculations!O24</f>
        <v>691969.23411695298</v>
      </c>
      <c r="P93" s="122">
        <f>Calculations!P24</f>
        <v>691969.23411695298</v>
      </c>
      <c r="Q93" s="122">
        <f>Calculations!Q24</f>
        <v>733487.38816397032</v>
      </c>
      <c r="R93" s="122">
        <f>Calculations!R24</f>
        <v>733487.38816397032</v>
      </c>
      <c r="S93" s="122">
        <f>Calculations!S24</f>
        <v>408182.27804023161</v>
      </c>
      <c r="T93" s="122">
        <f>Calculations!T24</f>
        <v>420427.74638143863</v>
      </c>
      <c r="U93" s="122">
        <f>Calculations!U24</f>
        <v>420427.74638143863</v>
      </c>
      <c r="V93" s="122">
        <f>Calculations!V24</f>
        <v>420427.74638143863</v>
      </c>
      <c r="W93" s="122">
        <f>Calculations!W24</f>
        <v>445653.41116432491</v>
      </c>
      <c r="X93" s="122">
        <f>Calculations!X24</f>
        <v>445653.41116432491</v>
      </c>
      <c r="Y93" s="122">
        <f>Calculations!Y24</f>
        <v>445653.41116432491</v>
      </c>
      <c r="Z93" s="122">
        <f>Calculations!Z24</f>
        <v>459023.01349925471</v>
      </c>
      <c r="AA93" s="122">
        <f>Calculations!AA24</f>
        <v>459023.01349925471</v>
      </c>
      <c r="AB93" s="122">
        <f>Calculations!AB24</f>
        <v>459023.01349925471</v>
      </c>
      <c r="AC93" s="122">
        <f>Calculations!AC24</f>
        <v>486564.39430921001</v>
      </c>
      <c r="AD93" s="122">
        <f>Calculations!AD24</f>
        <v>486564.39430921001</v>
      </c>
      <c r="AE93" s="123">
        <f>Calculations!AE24</f>
        <v>486564.39430921001</v>
      </c>
    </row>
    <row r="94" spans="1:31" x14ac:dyDescent="0.25">
      <c r="A94" s="59" t="str">
        <f>A27</f>
        <v>Office</v>
      </c>
      <c r="B94" s="30">
        <f>Calculations!B45</f>
        <v>18532.489990286085</v>
      </c>
      <c r="C94" s="30">
        <f>Calculations!C45</f>
        <v>37064.97998057217</v>
      </c>
      <c r="D94" s="30">
        <f>Calculations!D45</f>
        <v>74129.959961144341</v>
      </c>
      <c r="E94" s="30">
        <f>Calculations!E45</f>
        <v>78577.757558813013</v>
      </c>
      <c r="F94" s="30">
        <f>Calculations!F45</f>
        <v>78577.757558813013</v>
      </c>
      <c r="G94" s="30">
        <f>Calculations!G45</f>
        <v>78577.757558813013</v>
      </c>
      <c r="H94" s="30">
        <f>Calculations!H45</f>
        <v>80935.090285577418</v>
      </c>
      <c r="I94" s="30">
        <f>Calculations!I45</f>
        <v>80935.090285577418</v>
      </c>
      <c r="J94" s="30">
        <f>Calculations!J45</f>
        <v>80935.090285577418</v>
      </c>
      <c r="K94" s="30">
        <f>Calculations!K45</f>
        <v>85791.195702712052</v>
      </c>
      <c r="L94" s="30">
        <f>Calculations!L45</f>
        <v>78547.726101952649</v>
      </c>
      <c r="M94" s="30">
        <f>Calculations!M45</f>
        <v>78547.726101952649</v>
      </c>
      <c r="N94" s="30">
        <f>Calculations!N45</f>
        <v>80904.157885011242</v>
      </c>
      <c r="O94" s="30">
        <f>Calculations!O45</f>
        <v>80904.157885011242</v>
      </c>
      <c r="P94" s="30">
        <f>Calculations!P45</f>
        <v>80904.157885011242</v>
      </c>
      <c r="Q94" s="30">
        <f>Calculations!Q45</f>
        <v>85758.407358111916</v>
      </c>
      <c r="R94" s="30">
        <f>Calculations!R45</f>
        <v>85758.407358111916</v>
      </c>
      <c r="S94" s="30">
        <f>Calculations!S45</f>
        <v>72770.342249203139</v>
      </c>
      <c r="T94" s="30">
        <f>Calculations!T45</f>
        <v>74953.45251667923</v>
      </c>
      <c r="U94" s="30">
        <f>Calculations!U45</f>
        <v>74953.45251667923</v>
      </c>
      <c r="V94" s="30">
        <f>Calculations!V45</f>
        <v>74953.45251667923</v>
      </c>
      <c r="W94" s="30">
        <f>Calculations!W45</f>
        <v>79450.659667679982</v>
      </c>
      <c r="X94" s="30">
        <f>Calculations!X45</f>
        <v>79450.659667679982</v>
      </c>
      <c r="Y94" s="30">
        <f>Calculations!Y45</f>
        <v>79450.659667679982</v>
      </c>
      <c r="Z94" s="30">
        <f>Calculations!Z45</f>
        <v>81834.179457710372</v>
      </c>
      <c r="AA94" s="30">
        <f>Calculations!AA45</f>
        <v>81834.179457710372</v>
      </c>
      <c r="AB94" s="30">
        <f>Calculations!AB45</f>
        <v>81834.179457710372</v>
      </c>
      <c r="AC94" s="30">
        <f>Calculations!AC45</f>
        <v>86744.230225173</v>
      </c>
      <c r="AD94" s="30">
        <f>Calculations!AD45</f>
        <v>86744.230225173</v>
      </c>
      <c r="AE94" s="124">
        <f>Calculations!AE45</f>
        <v>86744.230225173</v>
      </c>
    </row>
    <row r="95" spans="1:31" x14ac:dyDescent="0.25">
      <c r="A95" s="42" t="str">
        <f>A48</f>
        <v>Single-Family Homes</v>
      </c>
      <c r="B95" s="30">
        <f t="shared" ref="B95:AE95" si="58">B67</f>
        <v>0</v>
      </c>
      <c r="C95" s="30">
        <f t="shared" si="58"/>
        <v>0</v>
      </c>
      <c r="D95" s="30">
        <f t="shared" si="58"/>
        <v>0</v>
      </c>
      <c r="E95" s="30">
        <f t="shared" si="58"/>
        <v>132901.92352576682</v>
      </c>
      <c r="F95" s="30">
        <f t="shared" si="58"/>
        <v>132901.92352576682</v>
      </c>
      <c r="G95" s="30">
        <f t="shared" si="58"/>
        <v>132901.92352576682</v>
      </c>
      <c r="H95" s="30">
        <f t="shared" si="58"/>
        <v>136888.98123153983</v>
      </c>
      <c r="I95" s="30">
        <f t="shared" si="58"/>
        <v>136888.98123153983</v>
      </c>
      <c r="J95" s="30">
        <f t="shared" si="58"/>
        <v>136888.98123153983</v>
      </c>
      <c r="K95" s="30">
        <f t="shared" si="58"/>
        <v>145102.32010543221</v>
      </c>
      <c r="L95" s="30">
        <f t="shared" si="58"/>
        <v>137519.77625854153</v>
      </c>
      <c r="M95" s="30">
        <f t="shared" si="58"/>
        <v>137519.77625854153</v>
      </c>
      <c r="N95" s="30">
        <f t="shared" si="58"/>
        <v>141645.36954629779</v>
      </c>
      <c r="O95" s="30">
        <f t="shared" si="58"/>
        <v>141645.36954629779</v>
      </c>
      <c r="P95" s="30">
        <f t="shared" si="58"/>
        <v>141645.36954629779</v>
      </c>
      <c r="Q95" s="30">
        <f t="shared" si="58"/>
        <v>150144.09171907569</v>
      </c>
      <c r="R95" s="30">
        <f t="shared" si="58"/>
        <v>150144.09171907569</v>
      </c>
      <c r="S95" s="30">
        <f t="shared" si="58"/>
        <v>150144.09171907569</v>
      </c>
      <c r="T95" s="30">
        <f t="shared" si="58"/>
        <v>92117.227707208513</v>
      </c>
      <c r="U95" s="30">
        <f t="shared" si="58"/>
        <v>92117.227707208513</v>
      </c>
      <c r="V95" s="30">
        <f t="shared" si="58"/>
        <v>92117.227707208513</v>
      </c>
      <c r="W95" s="30">
        <f t="shared" si="58"/>
        <v>97644.261369641026</v>
      </c>
      <c r="X95" s="30">
        <f t="shared" si="58"/>
        <v>97644.261369641026</v>
      </c>
      <c r="Y95" s="30">
        <f t="shared" si="58"/>
        <v>97644.261369641026</v>
      </c>
      <c r="Z95" s="30">
        <f t="shared" si="58"/>
        <v>100573.58921073026</v>
      </c>
      <c r="AA95" s="30">
        <f t="shared" si="58"/>
        <v>100573.58921073026</v>
      </c>
      <c r="AB95" s="30">
        <f t="shared" si="58"/>
        <v>100573.58921073026</v>
      </c>
      <c r="AC95" s="30">
        <f t="shared" si="58"/>
        <v>106608.0045633741</v>
      </c>
      <c r="AD95" s="30">
        <f t="shared" si="58"/>
        <v>106608.0045633741</v>
      </c>
      <c r="AE95" s="124">
        <f t="shared" si="58"/>
        <v>106608.0045633741</v>
      </c>
    </row>
    <row r="96" spans="1:31" x14ac:dyDescent="0.25">
      <c r="A96" s="42" t="str">
        <f>A70</f>
        <v>Condos</v>
      </c>
      <c r="B96" s="30">
        <f t="shared" ref="B96:AE96" si="59">B89</f>
        <v>0</v>
      </c>
      <c r="C96" s="30">
        <f t="shared" si="59"/>
        <v>0</v>
      </c>
      <c r="D96" s="30">
        <f t="shared" si="59"/>
        <v>0</v>
      </c>
      <c r="E96" s="30">
        <f t="shared" si="59"/>
        <v>260855.4401258078</v>
      </c>
      <c r="F96" s="30">
        <f t="shared" si="59"/>
        <v>260855.4401258078</v>
      </c>
      <c r="G96" s="30">
        <f t="shared" si="59"/>
        <v>260855.4401258078</v>
      </c>
      <c r="H96" s="30">
        <f t="shared" si="59"/>
        <v>268681.10332958208</v>
      </c>
      <c r="I96" s="30">
        <f t="shared" si="59"/>
        <v>268681.10332958208</v>
      </c>
      <c r="J96" s="30">
        <f t="shared" si="59"/>
        <v>268681.10332958208</v>
      </c>
      <c r="K96" s="30">
        <f t="shared" si="59"/>
        <v>284801.96952935698</v>
      </c>
      <c r="L96" s="30">
        <f t="shared" si="59"/>
        <v>269919.20666196768</v>
      </c>
      <c r="M96" s="30">
        <f t="shared" si="59"/>
        <v>269919.20666196768</v>
      </c>
      <c r="N96" s="30">
        <f t="shared" si="59"/>
        <v>278016.78286182671</v>
      </c>
      <c r="O96" s="30">
        <f t="shared" si="59"/>
        <v>278016.78286182671</v>
      </c>
      <c r="P96" s="30">
        <f t="shared" si="59"/>
        <v>278016.78286182671</v>
      </c>
      <c r="Q96" s="30">
        <f t="shared" si="59"/>
        <v>294697.78983353626</v>
      </c>
      <c r="R96" s="30">
        <f t="shared" si="59"/>
        <v>294697.78983353626</v>
      </c>
      <c r="S96" s="30">
        <f t="shared" si="59"/>
        <v>294697.78983353626</v>
      </c>
      <c r="T96" s="30">
        <f t="shared" si="59"/>
        <v>180804.60642899855</v>
      </c>
      <c r="U96" s="30">
        <f t="shared" si="59"/>
        <v>180804.60642899855</v>
      </c>
      <c r="V96" s="30">
        <f t="shared" si="59"/>
        <v>180804.60642899855</v>
      </c>
      <c r="W96" s="30">
        <f t="shared" si="59"/>
        <v>191652.88281473846</v>
      </c>
      <c r="X96" s="30">
        <f t="shared" si="59"/>
        <v>191652.88281473846</v>
      </c>
      <c r="Y96" s="30">
        <f t="shared" si="59"/>
        <v>191652.88281473846</v>
      </c>
      <c r="Z96" s="30">
        <f t="shared" si="59"/>
        <v>197402.46929918067</v>
      </c>
      <c r="AA96" s="30">
        <f t="shared" si="59"/>
        <v>197402.46929918067</v>
      </c>
      <c r="AB96" s="30">
        <f t="shared" si="59"/>
        <v>197402.46929918067</v>
      </c>
      <c r="AC96" s="30">
        <f t="shared" si="59"/>
        <v>209246.61745713151</v>
      </c>
      <c r="AD96" s="30">
        <f t="shared" si="59"/>
        <v>209246.61745713151</v>
      </c>
      <c r="AE96" s="124">
        <f t="shared" si="59"/>
        <v>209246.61745713151</v>
      </c>
    </row>
    <row r="97" spans="1:31" x14ac:dyDescent="0.25">
      <c r="A97" s="125" t="s">
        <v>46</v>
      </c>
      <c r="B97" s="28">
        <f t="shared" ref="B97:AE97" si="60">SUM(B93:B96)</f>
        <v>172433.77384000647</v>
      </c>
      <c r="C97" s="28">
        <f t="shared" si="60"/>
        <v>344867.54768001294</v>
      </c>
      <c r="D97" s="28">
        <f t="shared" si="60"/>
        <v>689735.09536002588</v>
      </c>
      <c r="E97" s="28">
        <f t="shared" si="60"/>
        <v>1124876.5647332021</v>
      </c>
      <c r="F97" s="28">
        <f t="shared" si="60"/>
        <v>1124876.5647332021</v>
      </c>
      <c r="G97" s="28">
        <f t="shared" si="60"/>
        <v>1124876.5647332021</v>
      </c>
      <c r="H97" s="28">
        <f t="shared" si="60"/>
        <v>1158622.8616751982</v>
      </c>
      <c r="I97" s="28">
        <f t="shared" si="60"/>
        <v>1158622.8616751982</v>
      </c>
      <c r="J97" s="28">
        <f t="shared" si="60"/>
        <v>1158622.8616751982</v>
      </c>
      <c r="K97" s="28">
        <f t="shared" si="60"/>
        <v>1228140.23337571</v>
      </c>
      <c r="L97" s="28">
        <f t="shared" si="60"/>
        <v>1157801.4994272706</v>
      </c>
      <c r="M97" s="28">
        <f t="shared" si="60"/>
        <v>1157801.4994272706</v>
      </c>
      <c r="N97" s="28">
        <f t="shared" si="60"/>
        <v>1192535.5444100888</v>
      </c>
      <c r="O97" s="28">
        <f t="shared" si="60"/>
        <v>1192535.5444100888</v>
      </c>
      <c r="P97" s="28">
        <f t="shared" si="60"/>
        <v>1192535.5444100888</v>
      </c>
      <c r="Q97" s="28">
        <f t="shared" si="60"/>
        <v>1264087.6770746941</v>
      </c>
      <c r="R97" s="28">
        <f t="shared" si="60"/>
        <v>1264087.6770746941</v>
      </c>
      <c r="S97" s="28">
        <f t="shared" si="60"/>
        <v>925794.50184204674</v>
      </c>
      <c r="T97" s="28">
        <f t="shared" si="60"/>
        <v>768303.03303432488</v>
      </c>
      <c r="U97" s="28">
        <f t="shared" si="60"/>
        <v>768303.03303432488</v>
      </c>
      <c r="V97" s="28">
        <f t="shared" si="60"/>
        <v>768303.03303432488</v>
      </c>
      <c r="W97" s="28">
        <f t="shared" si="60"/>
        <v>814401.21501638438</v>
      </c>
      <c r="X97" s="28">
        <f t="shared" si="60"/>
        <v>814401.21501638438</v>
      </c>
      <c r="Y97" s="28">
        <f t="shared" si="60"/>
        <v>814401.21501638438</v>
      </c>
      <c r="Z97" s="28">
        <f t="shared" si="60"/>
        <v>838833.25146687601</v>
      </c>
      <c r="AA97" s="28">
        <f t="shared" si="60"/>
        <v>838833.25146687601</v>
      </c>
      <c r="AB97" s="28">
        <f t="shared" si="60"/>
        <v>838833.25146687601</v>
      </c>
      <c r="AC97" s="28">
        <f t="shared" si="60"/>
        <v>889163.24655488855</v>
      </c>
      <c r="AD97" s="28">
        <f t="shared" si="60"/>
        <v>889163.24655488855</v>
      </c>
      <c r="AE97" s="126">
        <f t="shared" si="60"/>
        <v>889163.24655488855</v>
      </c>
    </row>
    <row r="98" spans="1:31" ht="7.5" customHeight="1" x14ac:dyDescent="0.25">
      <c r="A98" s="127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128"/>
    </row>
    <row r="99" spans="1:31" x14ac:dyDescent="0.25">
      <c r="A99" s="129" t="s">
        <v>45</v>
      </c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130"/>
    </row>
    <row r="100" spans="1:31" x14ac:dyDescent="0.25">
      <c r="A100" s="59" t="s">
        <v>43</v>
      </c>
      <c r="B100" s="17">
        <f>B97/Assumptions!$G$16</f>
        <v>156757.97621818769</v>
      </c>
      <c r="C100" s="17">
        <f>C97/Assumptions!$G$16</f>
        <v>313515.95243637537</v>
      </c>
      <c r="D100" s="17">
        <f>D97/Assumptions!$G$16</f>
        <v>627031.90487275075</v>
      </c>
      <c r="E100" s="17">
        <f>E97/Assumptions!$G$16</f>
        <v>1022615.0588483654</v>
      </c>
      <c r="F100" s="17">
        <f>F97/Assumptions!$G$16</f>
        <v>1022615.0588483654</v>
      </c>
      <c r="G100" s="17">
        <f>G97/Assumptions!$G$16</f>
        <v>1022615.0588483654</v>
      </c>
      <c r="H100" s="17">
        <f>H97/Assumptions!$G$16</f>
        <v>1053293.5106138166</v>
      </c>
      <c r="I100" s="17">
        <f>I97/Assumptions!$G$16</f>
        <v>1053293.5106138166</v>
      </c>
      <c r="J100" s="17">
        <f>J97/Assumptions!$G$16</f>
        <v>1053293.5106138166</v>
      </c>
      <c r="K100" s="17">
        <f>K97/Assumptions!$G$16</f>
        <v>1116491.1212506453</v>
      </c>
      <c r="L100" s="17">
        <f>L97/Assumptions!$G$16</f>
        <v>1052546.817661155</v>
      </c>
      <c r="M100" s="17">
        <f>M97/Assumptions!$G$16</f>
        <v>1052546.817661155</v>
      </c>
      <c r="N100" s="17">
        <f>N97/Assumptions!$G$16</f>
        <v>1084123.2221909896</v>
      </c>
      <c r="O100" s="17">
        <f>O97/Assumptions!$G$16</f>
        <v>1084123.2221909896</v>
      </c>
      <c r="P100" s="17">
        <f>P97/Assumptions!$G$16</f>
        <v>1084123.2221909896</v>
      </c>
      <c r="Q100" s="17">
        <f>Q97/Assumptions!$G$16</f>
        <v>1149170.6155224491</v>
      </c>
      <c r="R100" s="17">
        <f>R97/Assumptions!$G$16</f>
        <v>1149170.6155224491</v>
      </c>
      <c r="S100" s="17">
        <f>S97/Assumptions!$G$16</f>
        <v>841631.36531095149</v>
      </c>
      <c r="T100" s="17">
        <f>T97/Assumptions!$G$16</f>
        <v>698457.30275847716</v>
      </c>
      <c r="U100" s="17">
        <f>U97/Assumptions!$G$16</f>
        <v>698457.30275847716</v>
      </c>
      <c r="V100" s="17">
        <f>V97/Assumptions!$G$16</f>
        <v>698457.30275847716</v>
      </c>
      <c r="W100" s="17">
        <f>W97/Assumptions!$G$16</f>
        <v>740364.74092398572</v>
      </c>
      <c r="X100" s="17">
        <f>X97/Assumptions!$G$16</f>
        <v>740364.74092398572</v>
      </c>
      <c r="Y100" s="17">
        <f>Y97/Assumptions!$G$16</f>
        <v>740364.74092398572</v>
      </c>
      <c r="Z100" s="17">
        <f>Z97/Assumptions!$G$16</f>
        <v>762575.68315170542</v>
      </c>
      <c r="AA100" s="17">
        <f>AA97/Assumptions!$G$16</f>
        <v>762575.68315170542</v>
      </c>
      <c r="AB100" s="17">
        <f>AB97/Assumptions!$G$16</f>
        <v>762575.68315170542</v>
      </c>
      <c r="AC100" s="17">
        <f>AC97/Assumptions!$G$16</f>
        <v>808330.22414080775</v>
      </c>
      <c r="AD100" s="17">
        <f>AD97/Assumptions!$G$16</f>
        <v>808330.22414080775</v>
      </c>
      <c r="AE100" s="38">
        <f>AE97/Assumptions!$G$16</f>
        <v>808330.22414080775</v>
      </c>
    </row>
    <row r="101" spans="1:31" x14ac:dyDescent="0.25">
      <c r="A101" s="59" t="s">
        <v>44</v>
      </c>
      <c r="B101" s="17">
        <f t="shared" ref="B101:AE101" si="61">B97-B100</f>
        <v>15675.797621818783</v>
      </c>
      <c r="C101" s="17">
        <f t="shared" si="61"/>
        <v>31351.595243637566</v>
      </c>
      <c r="D101" s="17">
        <f t="shared" si="61"/>
        <v>62703.190487275133</v>
      </c>
      <c r="E101" s="17">
        <f t="shared" si="61"/>
        <v>102261.50588483666</v>
      </c>
      <c r="F101" s="17">
        <f t="shared" si="61"/>
        <v>102261.50588483666</v>
      </c>
      <c r="G101" s="17">
        <f t="shared" si="61"/>
        <v>102261.50588483666</v>
      </c>
      <c r="H101" s="17">
        <f t="shared" si="61"/>
        <v>105329.35106138163</v>
      </c>
      <c r="I101" s="17">
        <f t="shared" si="61"/>
        <v>105329.35106138163</v>
      </c>
      <c r="J101" s="17">
        <f t="shared" si="61"/>
        <v>105329.35106138163</v>
      </c>
      <c r="K101" s="17">
        <f t="shared" si="61"/>
        <v>111649.11212506471</v>
      </c>
      <c r="L101" s="17">
        <f t="shared" si="61"/>
        <v>105254.68176611559</v>
      </c>
      <c r="M101" s="17">
        <f t="shared" si="61"/>
        <v>105254.68176611559</v>
      </c>
      <c r="N101" s="17">
        <f t="shared" si="61"/>
        <v>108412.32221909915</v>
      </c>
      <c r="O101" s="17">
        <f t="shared" si="61"/>
        <v>108412.32221909915</v>
      </c>
      <c r="P101" s="17">
        <f t="shared" si="61"/>
        <v>108412.32221909915</v>
      </c>
      <c r="Q101" s="17">
        <f t="shared" si="61"/>
        <v>114917.06155224494</v>
      </c>
      <c r="R101" s="17">
        <f t="shared" si="61"/>
        <v>114917.06155224494</v>
      </c>
      <c r="S101" s="17">
        <f t="shared" si="61"/>
        <v>84163.136531095253</v>
      </c>
      <c r="T101" s="17">
        <f t="shared" si="61"/>
        <v>69845.730275847716</v>
      </c>
      <c r="U101" s="17">
        <f t="shared" si="61"/>
        <v>69845.730275847716</v>
      </c>
      <c r="V101" s="17">
        <f t="shared" si="61"/>
        <v>69845.730275847716</v>
      </c>
      <c r="W101" s="17">
        <f t="shared" si="61"/>
        <v>74036.474092398654</v>
      </c>
      <c r="X101" s="17">
        <f t="shared" si="61"/>
        <v>74036.474092398654</v>
      </c>
      <c r="Y101" s="17">
        <f t="shared" si="61"/>
        <v>74036.474092398654</v>
      </c>
      <c r="Z101" s="17">
        <f t="shared" si="61"/>
        <v>76257.568315170589</v>
      </c>
      <c r="AA101" s="17">
        <f t="shared" si="61"/>
        <v>76257.568315170589</v>
      </c>
      <c r="AB101" s="17">
        <f t="shared" si="61"/>
        <v>76257.568315170589</v>
      </c>
      <c r="AC101" s="17">
        <f t="shared" si="61"/>
        <v>80833.022414080799</v>
      </c>
      <c r="AD101" s="17">
        <f t="shared" si="61"/>
        <v>80833.022414080799</v>
      </c>
      <c r="AE101" s="38">
        <f t="shared" si="61"/>
        <v>80833.022414080799</v>
      </c>
    </row>
    <row r="102" spans="1:31" x14ac:dyDescent="0.25">
      <c r="A102" s="131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132"/>
    </row>
    <row r="103" spans="1:31" x14ac:dyDescent="0.25">
      <c r="A103" s="129" t="s">
        <v>22</v>
      </c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130"/>
    </row>
    <row r="104" spans="1:31" x14ac:dyDescent="0.25">
      <c r="A104" s="59" t="s">
        <v>43</v>
      </c>
      <c r="B104" s="17">
        <f t="shared" ref="B104:AE104" si="62">B100</f>
        <v>156757.97621818769</v>
      </c>
      <c r="C104" s="17">
        <f t="shared" si="62"/>
        <v>313515.95243637537</v>
      </c>
      <c r="D104" s="17">
        <f t="shared" si="62"/>
        <v>627031.90487275075</v>
      </c>
      <c r="E104" s="17">
        <f t="shared" si="62"/>
        <v>1022615.0588483654</v>
      </c>
      <c r="F104" s="17">
        <f t="shared" si="62"/>
        <v>1022615.0588483654</v>
      </c>
      <c r="G104" s="17">
        <f t="shared" si="62"/>
        <v>1022615.0588483654</v>
      </c>
      <c r="H104" s="17">
        <f t="shared" si="62"/>
        <v>1053293.5106138166</v>
      </c>
      <c r="I104" s="17">
        <f t="shared" si="62"/>
        <v>1053293.5106138166</v>
      </c>
      <c r="J104" s="17">
        <f t="shared" si="62"/>
        <v>1053293.5106138166</v>
      </c>
      <c r="K104" s="17">
        <f t="shared" si="62"/>
        <v>1116491.1212506453</v>
      </c>
      <c r="L104" s="17">
        <f t="shared" si="62"/>
        <v>1052546.817661155</v>
      </c>
      <c r="M104" s="17">
        <f t="shared" si="62"/>
        <v>1052546.817661155</v>
      </c>
      <c r="N104" s="17">
        <f t="shared" si="62"/>
        <v>1084123.2221909896</v>
      </c>
      <c r="O104" s="17">
        <f t="shared" si="62"/>
        <v>1084123.2221909896</v>
      </c>
      <c r="P104" s="17">
        <f t="shared" si="62"/>
        <v>1084123.2221909896</v>
      </c>
      <c r="Q104" s="17">
        <f t="shared" si="62"/>
        <v>1149170.6155224491</v>
      </c>
      <c r="R104" s="17">
        <f t="shared" si="62"/>
        <v>1149170.6155224491</v>
      </c>
      <c r="S104" s="17">
        <f t="shared" si="62"/>
        <v>841631.36531095149</v>
      </c>
      <c r="T104" s="17">
        <f t="shared" si="62"/>
        <v>698457.30275847716</v>
      </c>
      <c r="U104" s="17">
        <f t="shared" si="62"/>
        <v>698457.30275847716</v>
      </c>
      <c r="V104" s="17">
        <f t="shared" si="62"/>
        <v>698457.30275847716</v>
      </c>
      <c r="W104" s="17">
        <f t="shared" si="62"/>
        <v>740364.74092398572</v>
      </c>
      <c r="X104" s="17">
        <f t="shared" si="62"/>
        <v>740364.74092398572</v>
      </c>
      <c r="Y104" s="17">
        <f t="shared" si="62"/>
        <v>740364.74092398572</v>
      </c>
      <c r="Z104" s="17">
        <f t="shared" si="62"/>
        <v>762575.68315170542</v>
      </c>
      <c r="AA104" s="17">
        <f t="shared" si="62"/>
        <v>762575.68315170542</v>
      </c>
      <c r="AB104" s="17">
        <f t="shared" si="62"/>
        <v>762575.68315170542</v>
      </c>
      <c r="AC104" s="17">
        <f t="shared" si="62"/>
        <v>808330.22414080775</v>
      </c>
      <c r="AD104" s="17">
        <f t="shared" si="62"/>
        <v>808330.22414080775</v>
      </c>
      <c r="AE104" s="38">
        <f t="shared" si="62"/>
        <v>808330.22414080775</v>
      </c>
    </row>
    <row r="105" spans="1:31" x14ac:dyDescent="0.25">
      <c r="A105" s="59" t="s">
        <v>16</v>
      </c>
      <c r="B105" s="17">
        <v>0</v>
      </c>
      <c r="C105" s="17">
        <v>0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38"/>
    </row>
    <row r="106" spans="1:31" x14ac:dyDescent="0.25">
      <c r="A106" s="129" t="s">
        <v>20</v>
      </c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130"/>
    </row>
    <row r="107" spans="1:31" x14ac:dyDescent="0.25">
      <c r="A107" s="59" t="s">
        <v>43</v>
      </c>
      <c r="B107" s="17">
        <f t="shared" ref="B107:AE107" si="63">B101</f>
        <v>15675.797621818783</v>
      </c>
      <c r="C107" s="17">
        <f t="shared" si="63"/>
        <v>31351.595243637566</v>
      </c>
      <c r="D107" s="17">
        <f t="shared" si="63"/>
        <v>62703.190487275133</v>
      </c>
      <c r="E107" s="17">
        <f t="shared" si="63"/>
        <v>102261.50588483666</v>
      </c>
      <c r="F107" s="17">
        <f t="shared" si="63"/>
        <v>102261.50588483666</v>
      </c>
      <c r="G107" s="17">
        <f t="shared" si="63"/>
        <v>102261.50588483666</v>
      </c>
      <c r="H107" s="17">
        <f t="shared" si="63"/>
        <v>105329.35106138163</v>
      </c>
      <c r="I107" s="17">
        <f t="shared" si="63"/>
        <v>105329.35106138163</v>
      </c>
      <c r="J107" s="17">
        <f t="shared" si="63"/>
        <v>105329.35106138163</v>
      </c>
      <c r="K107" s="17">
        <f t="shared" si="63"/>
        <v>111649.11212506471</v>
      </c>
      <c r="L107" s="17">
        <f t="shared" si="63"/>
        <v>105254.68176611559</v>
      </c>
      <c r="M107" s="17">
        <f t="shared" si="63"/>
        <v>105254.68176611559</v>
      </c>
      <c r="N107" s="17">
        <f t="shared" si="63"/>
        <v>108412.32221909915</v>
      </c>
      <c r="O107" s="17">
        <f t="shared" si="63"/>
        <v>108412.32221909915</v>
      </c>
      <c r="P107" s="17">
        <f t="shared" si="63"/>
        <v>108412.32221909915</v>
      </c>
      <c r="Q107" s="17">
        <f t="shared" si="63"/>
        <v>114917.06155224494</v>
      </c>
      <c r="R107" s="17">
        <f t="shared" si="63"/>
        <v>114917.06155224494</v>
      </c>
      <c r="S107" s="17">
        <f t="shared" si="63"/>
        <v>84163.136531095253</v>
      </c>
      <c r="T107" s="17">
        <f t="shared" si="63"/>
        <v>69845.730275847716</v>
      </c>
      <c r="U107" s="17">
        <f t="shared" si="63"/>
        <v>69845.730275847716</v>
      </c>
      <c r="V107" s="17">
        <f t="shared" si="63"/>
        <v>69845.730275847716</v>
      </c>
      <c r="W107" s="17">
        <f t="shared" si="63"/>
        <v>74036.474092398654</v>
      </c>
      <c r="X107" s="17">
        <f t="shared" si="63"/>
        <v>74036.474092398654</v>
      </c>
      <c r="Y107" s="17">
        <f t="shared" si="63"/>
        <v>74036.474092398654</v>
      </c>
      <c r="Z107" s="17">
        <f t="shared" si="63"/>
        <v>76257.568315170589</v>
      </c>
      <c r="AA107" s="17">
        <f t="shared" si="63"/>
        <v>76257.568315170589</v>
      </c>
      <c r="AB107" s="17">
        <f t="shared" si="63"/>
        <v>76257.568315170589</v>
      </c>
      <c r="AC107" s="17">
        <f t="shared" si="63"/>
        <v>80833.022414080799</v>
      </c>
      <c r="AD107" s="17">
        <f t="shared" si="63"/>
        <v>80833.022414080799</v>
      </c>
      <c r="AE107" s="38">
        <f t="shared" si="63"/>
        <v>80833.022414080799</v>
      </c>
    </row>
    <row r="108" spans="1:31" ht="15.75" thickBot="1" x14ac:dyDescent="0.3">
      <c r="A108" s="68" t="s">
        <v>16</v>
      </c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  <c r="AA108" s="133"/>
      <c r="AB108" s="133"/>
      <c r="AC108" s="133"/>
      <c r="AD108" s="133"/>
      <c r="AE108" s="134"/>
    </row>
  </sheetData>
  <conditionalFormatting sqref="B21:AE21">
    <cfRule type="cellIs" dxfId="3" priority="4" operator="greaterThan">
      <formula>0</formula>
    </cfRule>
  </conditionalFormatting>
  <conditionalFormatting sqref="B42:AE42">
    <cfRule type="cellIs" dxfId="2" priority="3" operator="greaterThan">
      <formula>0</formula>
    </cfRule>
  </conditionalFormatting>
  <conditionalFormatting sqref="B64:AE64">
    <cfRule type="cellIs" dxfId="1" priority="2" operator="greaterThan">
      <formula>0</formula>
    </cfRule>
  </conditionalFormatting>
  <conditionalFormatting sqref="B86:AE86">
    <cfRule type="cellIs" dxfId="0" priority="1" operator="greaterThan">
      <formula>0</formula>
    </cfRule>
  </conditionalFormatting>
  <printOptions horizontalCentered="1"/>
  <pageMargins left="0.27" right="0.33" top="0.7" bottom="0.4" header="0.19" footer="0.3"/>
  <pageSetup paperSize="17" scale="51" orientation="landscape" r:id="rId1"/>
  <headerFooter>
    <oddHeader>&amp;C&amp;"Arial,Bold"&amp;14Quarry Trails
 &amp;A
Minimum Service Payments</oddHeader>
    <oddFooter>&amp;L&amp;10&amp;D</oddFooter>
  </headerFooter>
  <rowBreaks count="1" manualBreakCount="1">
    <brk id="109" max="3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9AD69-2F47-44A6-9D16-438606877362}">
  <sheetPr>
    <pageSetUpPr fitToPage="1"/>
  </sheetPr>
  <dimension ref="A1:AE19"/>
  <sheetViews>
    <sheetView zoomScale="85" zoomScaleNormal="85" zoomScaleSheetLayoutView="85" workbookViewId="0">
      <selection activeCell="A19" sqref="A19"/>
    </sheetView>
  </sheetViews>
  <sheetFormatPr defaultColWidth="8" defaultRowHeight="15" x14ac:dyDescent="0.25"/>
  <cols>
    <col min="1" max="1" width="56.5703125" style="15" bestFit="1" customWidth="1"/>
    <col min="2" max="3" width="9" style="15" bestFit="1" customWidth="1"/>
    <col min="4" max="18" width="10.5703125" style="15" bestFit="1" customWidth="1"/>
    <col min="19" max="31" width="9" style="15" bestFit="1" customWidth="1"/>
    <col min="32" max="32" width="9.7109375" style="15" customWidth="1"/>
    <col min="33" max="33" width="9.140625" style="15" customWidth="1"/>
    <col min="34" max="16384" width="8" style="15"/>
  </cols>
  <sheetData>
    <row r="1" spans="1:31" s="107" customFormat="1" x14ac:dyDescent="0.25">
      <c r="A1" s="135" t="s">
        <v>70</v>
      </c>
      <c r="B1" s="136">
        <v>1</v>
      </c>
      <c r="C1" s="136">
        <f t="shared" ref="C1:AE1" si="0">B1+1</f>
        <v>2</v>
      </c>
      <c r="D1" s="136">
        <f t="shared" si="0"/>
        <v>3</v>
      </c>
      <c r="E1" s="136">
        <f t="shared" si="0"/>
        <v>4</v>
      </c>
      <c r="F1" s="136">
        <f t="shared" si="0"/>
        <v>5</v>
      </c>
      <c r="G1" s="136">
        <f t="shared" si="0"/>
        <v>6</v>
      </c>
      <c r="H1" s="136">
        <f t="shared" si="0"/>
        <v>7</v>
      </c>
      <c r="I1" s="136">
        <f t="shared" si="0"/>
        <v>8</v>
      </c>
      <c r="J1" s="136">
        <f t="shared" si="0"/>
        <v>9</v>
      </c>
      <c r="K1" s="136">
        <f t="shared" si="0"/>
        <v>10</v>
      </c>
      <c r="L1" s="136">
        <f t="shared" si="0"/>
        <v>11</v>
      </c>
      <c r="M1" s="136">
        <f t="shared" si="0"/>
        <v>12</v>
      </c>
      <c r="N1" s="136">
        <f t="shared" si="0"/>
        <v>13</v>
      </c>
      <c r="O1" s="136">
        <f t="shared" si="0"/>
        <v>14</v>
      </c>
      <c r="P1" s="136">
        <f t="shared" si="0"/>
        <v>15</v>
      </c>
      <c r="Q1" s="136">
        <f t="shared" si="0"/>
        <v>16</v>
      </c>
      <c r="R1" s="136">
        <f t="shared" si="0"/>
        <v>17</v>
      </c>
      <c r="S1" s="136">
        <f t="shared" si="0"/>
        <v>18</v>
      </c>
      <c r="T1" s="136">
        <f t="shared" si="0"/>
        <v>19</v>
      </c>
      <c r="U1" s="136">
        <f t="shared" si="0"/>
        <v>20</v>
      </c>
      <c r="V1" s="136">
        <f t="shared" si="0"/>
        <v>21</v>
      </c>
      <c r="W1" s="136">
        <f t="shared" si="0"/>
        <v>22</v>
      </c>
      <c r="X1" s="136">
        <f t="shared" si="0"/>
        <v>23</v>
      </c>
      <c r="Y1" s="136">
        <f t="shared" si="0"/>
        <v>24</v>
      </c>
      <c r="Z1" s="136">
        <f t="shared" si="0"/>
        <v>25</v>
      </c>
      <c r="AA1" s="136">
        <f t="shared" si="0"/>
        <v>26</v>
      </c>
      <c r="AB1" s="136">
        <f t="shared" si="0"/>
        <v>27</v>
      </c>
      <c r="AC1" s="136">
        <f t="shared" si="0"/>
        <v>28</v>
      </c>
      <c r="AD1" s="136">
        <f t="shared" si="0"/>
        <v>29</v>
      </c>
      <c r="AE1" s="137">
        <f t="shared" si="0"/>
        <v>30</v>
      </c>
    </row>
    <row r="2" spans="1:31" s="107" customFormat="1" x14ac:dyDescent="0.25">
      <c r="A2" s="138" t="s">
        <v>67</v>
      </c>
      <c r="B2" s="139">
        <f>Calculations!B1</f>
        <v>2020</v>
      </c>
      <c r="C2" s="140">
        <f t="shared" ref="C2:AE2" si="1">B2+1</f>
        <v>2021</v>
      </c>
      <c r="D2" s="140">
        <f t="shared" si="1"/>
        <v>2022</v>
      </c>
      <c r="E2" s="140">
        <f t="shared" si="1"/>
        <v>2023</v>
      </c>
      <c r="F2" s="140">
        <f t="shared" si="1"/>
        <v>2024</v>
      </c>
      <c r="G2" s="140">
        <f t="shared" si="1"/>
        <v>2025</v>
      </c>
      <c r="H2" s="140">
        <f t="shared" si="1"/>
        <v>2026</v>
      </c>
      <c r="I2" s="140">
        <f t="shared" si="1"/>
        <v>2027</v>
      </c>
      <c r="J2" s="140">
        <f t="shared" si="1"/>
        <v>2028</v>
      </c>
      <c r="K2" s="140">
        <f t="shared" si="1"/>
        <v>2029</v>
      </c>
      <c r="L2" s="140">
        <f t="shared" si="1"/>
        <v>2030</v>
      </c>
      <c r="M2" s="140">
        <f t="shared" si="1"/>
        <v>2031</v>
      </c>
      <c r="N2" s="140">
        <f t="shared" si="1"/>
        <v>2032</v>
      </c>
      <c r="O2" s="140">
        <f t="shared" si="1"/>
        <v>2033</v>
      </c>
      <c r="P2" s="140">
        <f t="shared" si="1"/>
        <v>2034</v>
      </c>
      <c r="Q2" s="140">
        <f t="shared" si="1"/>
        <v>2035</v>
      </c>
      <c r="R2" s="140">
        <f t="shared" si="1"/>
        <v>2036</v>
      </c>
      <c r="S2" s="140">
        <f t="shared" si="1"/>
        <v>2037</v>
      </c>
      <c r="T2" s="140">
        <f t="shared" si="1"/>
        <v>2038</v>
      </c>
      <c r="U2" s="140">
        <f t="shared" si="1"/>
        <v>2039</v>
      </c>
      <c r="V2" s="140">
        <f t="shared" si="1"/>
        <v>2040</v>
      </c>
      <c r="W2" s="140">
        <f t="shared" si="1"/>
        <v>2041</v>
      </c>
      <c r="X2" s="140">
        <f t="shared" si="1"/>
        <v>2042</v>
      </c>
      <c r="Y2" s="140">
        <f t="shared" si="1"/>
        <v>2043</v>
      </c>
      <c r="Z2" s="140">
        <f t="shared" si="1"/>
        <v>2044</v>
      </c>
      <c r="AA2" s="140">
        <f t="shared" si="1"/>
        <v>2045</v>
      </c>
      <c r="AB2" s="140">
        <f t="shared" si="1"/>
        <v>2046</v>
      </c>
      <c r="AC2" s="140">
        <f t="shared" si="1"/>
        <v>2047</v>
      </c>
      <c r="AD2" s="140">
        <f t="shared" si="1"/>
        <v>2048</v>
      </c>
      <c r="AE2" s="141">
        <f t="shared" si="1"/>
        <v>2049</v>
      </c>
    </row>
    <row r="3" spans="1:31" s="107" customFormat="1" ht="15.75" thickBot="1" x14ac:dyDescent="0.3">
      <c r="A3" s="142" t="s">
        <v>66</v>
      </c>
      <c r="B3" s="108">
        <f>Calculations!B2</f>
        <v>2021</v>
      </c>
      <c r="C3" s="108">
        <f>Calculations!C2</f>
        <v>2022</v>
      </c>
      <c r="D3" s="108">
        <f>Calculations!D2</f>
        <v>2023</v>
      </c>
      <c r="E3" s="108">
        <f>Calculations!E2</f>
        <v>2024</v>
      </c>
      <c r="F3" s="108">
        <f>Calculations!F2</f>
        <v>2025</v>
      </c>
      <c r="G3" s="108">
        <f>Calculations!G2</f>
        <v>2026</v>
      </c>
      <c r="H3" s="108">
        <f>Calculations!H2</f>
        <v>2027</v>
      </c>
      <c r="I3" s="108">
        <f>Calculations!I2</f>
        <v>2028</v>
      </c>
      <c r="J3" s="108">
        <f>Calculations!J2</f>
        <v>2029</v>
      </c>
      <c r="K3" s="108">
        <f>Calculations!K2</f>
        <v>2030</v>
      </c>
      <c r="L3" s="108">
        <f>Calculations!L2</f>
        <v>2031</v>
      </c>
      <c r="M3" s="108">
        <f>Calculations!M2</f>
        <v>2032</v>
      </c>
      <c r="N3" s="108">
        <f>Calculations!N2</f>
        <v>2033</v>
      </c>
      <c r="O3" s="108">
        <f>Calculations!O2</f>
        <v>2034</v>
      </c>
      <c r="P3" s="108">
        <f>Calculations!P2</f>
        <v>2035</v>
      </c>
      <c r="Q3" s="108">
        <f>Calculations!Q2</f>
        <v>2036</v>
      </c>
      <c r="R3" s="108">
        <f>Calculations!R2</f>
        <v>2037</v>
      </c>
      <c r="S3" s="108">
        <f>Calculations!S2</f>
        <v>2038</v>
      </c>
      <c r="T3" s="108">
        <f>Calculations!T2</f>
        <v>2039</v>
      </c>
      <c r="U3" s="108">
        <f>Calculations!U2</f>
        <v>2040</v>
      </c>
      <c r="V3" s="108">
        <f>Calculations!V2</f>
        <v>2041</v>
      </c>
      <c r="W3" s="108">
        <f>Calculations!W2</f>
        <v>2042</v>
      </c>
      <c r="X3" s="108">
        <f>Calculations!X2</f>
        <v>2043</v>
      </c>
      <c r="Y3" s="108">
        <f>Calculations!Y2</f>
        <v>2044</v>
      </c>
      <c r="Z3" s="108">
        <f>Calculations!Z2</f>
        <v>2045</v>
      </c>
      <c r="AA3" s="108">
        <f>Calculations!AA2</f>
        <v>2046</v>
      </c>
      <c r="AB3" s="108">
        <f>Calculations!AB2</f>
        <v>2047</v>
      </c>
      <c r="AC3" s="108">
        <f>Calculations!AC2</f>
        <v>2048</v>
      </c>
      <c r="AD3" s="108">
        <f>Calculations!AD2</f>
        <v>2049</v>
      </c>
      <c r="AE3" s="143">
        <f>Calculations!AE2</f>
        <v>2050</v>
      </c>
    </row>
    <row r="4" spans="1:31" x14ac:dyDescent="0.25">
      <c r="A4" s="144" t="s">
        <v>69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45"/>
    </row>
    <row r="5" spans="1:31" x14ac:dyDescent="0.25">
      <c r="A5" s="31" t="str">
        <f>Calculations!A93</f>
        <v>Apartments</v>
      </c>
      <c r="B5" s="30">
        <f>Calculations!B24</f>
        <v>153901.28384972038</v>
      </c>
      <c r="C5" s="30">
        <f>Calculations!C24</f>
        <v>307802.56769944075</v>
      </c>
      <c r="D5" s="30">
        <f>Calculations!D24</f>
        <v>615605.13539888151</v>
      </c>
      <c r="E5" s="30">
        <f>Calculations!E24</f>
        <v>652541.44352281443</v>
      </c>
      <c r="F5" s="30">
        <f>Calculations!F24</f>
        <v>652541.44352281443</v>
      </c>
      <c r="G5" s="30">
        <f>Calculations!G24</f>
        <v>652541.44352281443</v>
      </c>
      <c r="H5" s="30">
        <f>Calculations!H24</f>
        <v>672117.68682849873</v>
      </c>
      <c r="I5" s="30">
        <f>Calculations!I24</f>
        <v>672117.68682849873</v>
      </c>
      <c r="J5" s="30">
        <f>Calculations!J24</f>
        <v>672117.68682849873</v>
      </c>
      <c r="K5" s="30">
        <f>Calculations!K24</f>
        <v>712444.74803820869</v>
      </c>
      <c r="L5" s="30">
        <f>Calculations!L24</f>
        <v>671814.79040480871</v>
      </c>
      <c r="M5" s="30">
        <f>Calculations!M24</f>
        <v>671814.79040480871</v>
      </c>
      <c r="N5" s="30">
        <f>Calculations!N24</f>
        <v>691969.23411695298</v>
      </c>
      <c r="O5" s="30">
        <f>Calculations!O24</f>
        <v>691969.23411695298</v>
      </c>
      <c r="P5" s="30">
        <f>Calculations!P24</f>
        <v>691969.23411695298</v>
      </c>
      <c r="Q5" s="30">
        <f>Calculations!Q24</f>
        <v>733487.38816397032</v>
      </c>
      <c r="R5" s="30">
        <f>Calculations!R24</f>
        <v>733487.38816397032</v>
      </c>
      <c r="S5" s="30">
        <f>Calculations!S24</f>
        <v>408182.27804023161</v>
      </c>
      <c r="T5" s="30">
        <f>Calculations!T24</f>
        <v>420427.74638143863</v>
      </c>
      <c r="U5" s="30">
        <f>Calculations!U24</f>
        <v>420427.74638143863</v>
      </c>
      <c r="V5" s="30">
        <f>Calculations!V24</f>
        <v>420427.74638143863</v>
      </c>
      <c r="W5" s="30">
        <f>Calculations!W24</f>
        <v>445653.41116432491</v>
      </c>
      <c r="X5" s="30">
        <f>Calculations!X24</f>
        <v>445653.41116432491</v>
      </c>
      <c r="Y5" s="30">
        <f>Calculations!Y24</f>
        <v>445653.41116432491</v>
      </c>
      <c r="Z5" s="30">
        <f>Calculations!Z24</f>
        <v>459023.01349925471</v>
      </c>
      <c r="AA5" s="30">
        <f>Calculations!AA24</f>
        <v>459023.01349925471</v>
      </c>
      <c r="AB5" s="30">
        <f>Calculations!AB24</f>
        <v>459023.01349925471</v>
      </c>
      <c r="AC5" s="30">
        <f>Calculations!AC24</f>
        <v>486564.39430921001</v>
      </c>
      <c r="AD5" s="30">
        <f>Calculations!AD24</f>
        <v>486564.39430921001</v>
      </c>
      <c r="AE5" s="30">
        <f>Calculations!AE24</f>
        <v>486564.39430921001</v>
      </c>
    </row>
    <row r="6" spans="1:31" x14ac:dyDescent="0.25">
      <c r="A6" s="18" t="str">
        <f>Calculations!A94</f>
        <v>Office</v>
      </c>
      <c r="B6" s="30">
        <f>Calculations!B45</f>
        <v>18532.489990286085</v>
      </c>
      <c r="C6" s="30">
        <f>Calculations!C45</f>
        <v>37064.97998057217</v>
      </c>
      <c r="D6" s="30">
        <f>Calculations!D45</f>
        <v>74129.959961144341</v>
      </c>
      <c r="E6" s="30">
        <f>Calculations!E45</f>
        <v>78577.757558813013</v>
      </c>
      <c r="F6" s="30">
        <f>Calculations!F45</f>
        <v>78577.757558813013</v>
      </c>
      <c r="G6" s="30">
        <f>Calculations!G45</f>
        <v>78577.757558813013</v>
      </c>
      <c r="H6" s="30">
        <f>Calculations!H45</f>
        <v>80935.090285577418</v>
      </c>
      <c r="I6" s="30">
        <f>Calculations!I45</f>
        <v>80935.090285577418</v>
      </c>
      <c r="J6" s="30">
        <f>Calculations!J45</f>
        <v>80935.090285577418</v>
      </c>
      <c r="K6" s="30">
        <f>Calculations!K45</f>
        <v>85791.195702712052</v>
      </c>
      <c r="L6" s="30">
        <f>Calculations!L45</f>
        <v>78547.726101952649</v>
      </c>
      <c r="M6" s="30">
        <f>Calculations!M45</f>
        <v>78547.726101952649</v>
      </c>
      <c r="N6" s="30">
        <f>Calculations!N45</f>
        <v>80904.157885011242</v>
      </c>
      <c r="O6" s="30">
        <f>Calculations!O45</f>
        <v>80904.157885011242</v>
      </c>
      <c r="P6" s="30">
        <f>Calculations!P45</f>
        <v>80904.157885011242</v>
      </c>
      <c r="Q6" s="30">
        <f>Calculations!Q45</f>
        <v>85758.407358111916</v>
      </c>
      <c r="R6" s="30">
        <f>Calculations!R45</f>
        <v>85758.407358111916</v>
      </c>
      <c r="S6" s="30">
        <f>Calculations!S45</f>
        <v>72770.342249203139</v>
      </c>
      <c r="T6" s="30">
        <f>Calculations!T45</f>
        <v>74953.45251667923</v>
      </c>
      <c r="U6" s="30">
        <f>Calculations!U45</f>
        <v>74953.45251667923</v>
      </c>
      <c r="V6" s="30">
        <f>Calculations!V45</f>
        <v>74953.45251667923</v>
      </c>
      <c r="W6" s="30">
        <f>Calculations!W45</f>
        <v>79450.659667679982</v>
      </c>
      <c r="X6" s="30">
        <f>Calculations!X45</f>
        <v>79450.659667679982</v>
      </c>
      <c r="Y6" s="30">
        <f>Calculations!Y45</f>
        <v>79450.659667679982</v>
      </c>
      <c r="Z6" s="30">
        <f>Calculations!Z45</f>
        <v>81834.179457710372</v>
      </c>
      <c r="AA6" s="30">
        <f>Calculations!AA45</f>
        <v>81834.179457710372</v>
      </c>
      <c r="AB6" s="30">
        <f>Calculations!AB45</f>
        <v>81834.179457710372</v>
      </c>
      <c r="AC6" s="30">
        <f>Calculations!AC45</f>
        <v>86744.230225173</v>
      </c>
      <c r="AD6" s="30">
        <f>Calculations!AD45</f>
        <v>86744.230225173</v>
      </c>
      <c r="AE6" s="30">
        <f>Calculations!AE45</f>
        <v>86744.230225173</v>
      </c>
    </row>
    <row r="7" spans="1:31" x14ac:dyDescent="0.25">
      <c r="A7" s="31" t="str">
        <f>Calculations!A95</f>
        <v>Single-Family Homes</v>
      </c>
      <c r="B7" s="30">
        <f>Calculations!B67</f>
        <v>0</v>
      </c>
      <c r="C7" s="30">
        <f>Calculations!C67</f>
        <v>0</v>
      </c>
      <c r="D7" s="30">
        <f>Calculations!D67</f>
        <v>0</v>
      </c>
      <c r="E7" s="30">
        <f>Calculations!E67</f>
        <v>132901.92352576682</v>
      </c>
      <c r="F7" s="30">
        <f>Calculations!F67</f>
        <v>132901.92352576682</v>
      </c>
      <c r="G7" s="30">
        <f>Calculations!G67</f>
        <v>132901.92352576682</v>
      </c>
      <c r="H7" s="30">
        <f>Calculations!H67</f>
        <v>136888.98123153983</v>
      </c>
      <c r="I7" s="30">
        <f>Calculations!I67</f>
        <v>136888.98123153983</v>
      </c>
      <c r="J7" s="30">
        <f>Calculations!J67</f>
        <v>136888.98123153983</v>
      </c>
      <c r="K7" s="30">
        <f>Calculations!K67</f>
        <v>145102.32010543221</v>
      </c>
      <c r="L7" s="30">
        <f>Calculations!L67</f>
        <v>137519.77625854153</v>
      </c>
      <c r="M7" s="30">
        <f>Calculations!M67</f>
        <v>137519.77625854153</v>
      </c>
      <c r="N7" s="30">
        <f>Calculations!N67</f>
        <v>141645.36954629779</v>
      </c>
      <c r="O7" s="30">
        <f>Calculations!O67</f>
        <v>141645.36954629779</v>
      </c>
      <c r="P7" s="30">
        <f>Calculations!P67</f>
        <v>141645.36954629779</v>
      </c>
      <c r="Q7" s="30">
        <f>Calculations!Q67</f>
        <v>150144.09171907569</v>
      </c>
      <c r="R7" s="30">
        <f>Calculations!R67</f>
        <v>150144.09171907569</v>
      </c>
      <c r="S7" s="30">
        <f>Calculations!S67</f>
        <v>150144.09171907569</v>
      </c>
      <c r="T7" s="30">
        <f>Calculations!T67</f>
        <v>92117.227707208513</v>
      </c>
      <c r="U7" s="30">
        <f>Calculations!U67</f>
        <v>92117.227707208513</v>
      </c>
      <c r="V7" s="30">
        <f>Calculations!V67</f>
        <v>92117.227707208513</v>
      </c>
      <c r="W7" s="30">
        <f>Calculations!W67</f>
        <v>97644.261369641026</v>
      </c>
      <c r="X7" s="30">
        <f>Calculations!X67</f>
        <v>97644.261369641026</v>
      </c>
      <c r="Y7" s="30">
        <f>Calculations!Y67</f>
        <v>97644.261369641026</v>
      </c>
      <c r="Z7" s="30">
        <f>Calculations!Z67</f>
        <v>100573.58921073026</v>
      </c>
      <c r="AA7" s="30">
        <f>Calculations!AA67</f>
        <v>100573.58921073026</v>
      </c>
      <c r="AB7" s="30">
        <f>Calculations!AB67</f>
        <v>100573.58921073026</v>
      </c>
      <c r="AC7" s="30">
        <f>Calculations!AC67</f>
        <v>106608.0045633741</v>
      </c>
      <c r="AD7" s="30">
        <f>Calculations!AD67</f>
        <v>106608.0045633741</v>
      </c>
      <c r="AE7" s="30">
        <f>Calculations!AE67</f>
        <v>106608.0045633741</v>
      </c>
    </row>
    <row r="8" spans="1:31" x14ac:dyDescent="0.25">
      <c r="A8" s="31" t="str">
        <f>Calculations!A96</f>
        <v>Condos</v>
      </c>
      <c r="B8" s="30">
        <f>Calculations!B89</f>
        <v>0</v>
      </c>
      <c r="C8" s="30">
        <f>Calculations!C89</f>
        <v>0</v>
      </c>
      <c r="D8" s="30">
        <f>Calculations!D89</f>
        <v>0</v>
      </c>
      <c r="E8" s="30">
        <f>Calculations!E89</f>
        <v>260855.4401258078</v>
      </c>
      <c r="F8" s="30">
        <f>Calculations!F89</f>
        <v>260855.4401258078</v>
      </c>
      <c r="G8" s="30">
        <f>Calculations!G89</f>
        <v>260855.4401258078</v>
      </c>
      <c r="H8" s="30">
        <f>Calculations!H89</f>
        <v>268681.10332958208</v>
      </c>
      <c r="I8" s="30">
        <f>Calculations!I89</f>
        <v>268681.10332958208</v>
      </c>
      <c r="J8" s="30">
        <f>Calculations!J89</f>
        <v>268681.10332958208</v>
      </c>
      <c r="K8" s="30">
        <f>Calculations!K89</f>
        <v>284801.96952935698</v>
      </c>
      <c r="L8" s="30">
        <f>Calculations!L89</f>
        <v>269919.20666196768</v>
      </c>
      <c r="M8" s="30">
        <f>Calculations!M89</f>
        <v>269919.20666196768</v>
      </c>
      <c r="N8" s="30">
        <f>Calculations!N89</f>
        <v>278016.78286182671</v>
      </c>
      <c r="O8" s="30">
        <f>Calculations!O89</f>
        <v>278016.78286182671</v>
      </c>
      <c r="P8" s="30">
        <f>Calculations!P89</f>
        <v>278016.78286182671</v>
      </c>
      <c r="Q8" s="30">
        <f>Calculations!Q89</f>
        <v>294697.78983353626</v>
      </c>
      <c r="R8" s="30">
        <f>Calculations!R89</f>
        <v>294697.78983353626</v>
      </c>
      <c r="S8" s="30">
        <f>Calculations!S89</f>
        <v>294697.78983353626</v>
      </c>
      <c r="T8" s="30">
        <f>Calculations!T89</f>
        <v>180804.60642899855</v>
      </c>
      <c r="U8" s="30">
        <f>Calculations!U89</f>
        <v>180804.60642899855</v>
      </c>
      <c r="V8" s="30">
        <f>Calculations!V89</f>
        <v>180804.60642899855</v>
      </c>
      <c r="W8" s="30">
        <f>Calculations!W89</f>
        <v>191652.88281473846</v>
      </c>
      <c r="X8" s="30">
        <f>Calculations!X89</f>
        <v>191652.88281473846</v>
      </c>
      <c r="Y8" s="30">
        <f>Calculations!Y89</f>
        <v>191652.88281473846</v>
      </c>
      <c r="Z8" s="30">
        <f>Calculations!Z89</f>
        <v>197402.46929918067</v>
      </c>
      <c r="AA8" s="30">
        <f>Calculations!AA89</f>
        <v>197402.46929918067</v>
      </c>
      <c r="AB8" s="30">
        <f>Calculations!AB89</f>
        <v>197402.46929918067</v>
      </c>
      <c r="AC8" s="30">
        <f>Calculations!AC89</f>
        <v>209246.61745713151</v>
      </c>
      <c r="AD8" s="30">
        <f>Calculations!AD89</f>
        <v>209246.61745713151</v>
      </c>
      <c r="AE8" s="30">
        <f>Calculations!AE89</f>
        <v>209246.61745713151</v>
      </c>
    </row>
    <row r="9" spans="1:31" x14ac:dyDescent="0.25">
      <c r="A9" s="29" t="s">
        <v>46</v>
      </c>
      <c r="B9" s="28">
        <f>SUM(B5:B8)</f>
        <v>172433.77384000647</v>
      </c>
      <c r="C9" s="28">
        <f t="shared" ref="C9:AE9" si="2">SUM(C5:C8)</f>
        <v>344867.54768001294</v>
      </c>
      <c r="D9" s="28">
        <f t="shared" si="2"/>
        <v>689735.09536002588</v>
      </c>
      <c r="E9" s="28">
        <f t="shared" si="2"/>
        <v>1124876.5647332021</v>
      </c>
      <c r="F9" s="28">
        <f t="shared" si="2"/>
        <v>1124876.5647332021</v>
      </c>
      <c r="G9" s="28">
        <f t="shared" si="2"/>
        <v>1124876.5647332021</v>
      </c>
      <c r="H9" s="28">
        <f t="shared" si="2"/>
        <v>1158622.8616751982</v>
      </c>
      <c r="I9" s="28">
        <f t="shared" si="2"/>
        <v>1158622.8616751982</v>
      </c>
      <c r="J9" s="28">
        <f t="shared" si="2"/>
        <v>1158622.8616751982</v>
      </c>
      <c r="K9" s="28">
        <f t="shared" si="2"/>
        <v>1228140.23337571</v>
      </c>
      <c r="L9" s="28">
        <f t="shared" si="2"/>
        <v>1157801.4994272706</v>
      </c>
      <c r="M9" s="28">
        <f t="shared" si="2"/>
        <v>1157801.4994272706</v>
      </c>
      <c r="N9" s="28">
        <f t="shared" si="2"/>
        <v>1192535.5444100888</v>
      </c>
      <c r="O9" s="28">
        <f t="shared" si="2"/>
        <v>1192535.5444100888</v>
      </c>
      <c r="P9" s="28">
        <f t="shared" si="2"/>
        <v>1192535.5444100888</v>
      </c>
      <c r="Q9" s="28">
        <f t="shared" si="2"/>
        <v>1264087.6770746941</v>
      </c>
      <c r="R9" s="28">
        <f t="shared" si="2"/>
        <v>1264087.6770746941</v>
      </c>
      <c r="S9" s="28">
        <f t="shared" si="2"/>
        <v>925794.50184204674</v>
      </c>
      <c r="T9" s="28">
        <f t="shared" si="2"/>
        <v>768303.03303432488</v>
      </c>
      <c r="U9" s="28">
        <f t="shared" si="2"/>
        <v>768303.03303432488</v>
      </c>
      <c r="V9" s="28">
        <f t="shared" si="2"/>
        <v>768303.03303432488</v>
      </c>
      <c r="W9" s="28">
        <f t="shared" si="2"/>
        <v>814401.21501638438</v>
      </c>
      <c r="X9" s="28">
        <f t="shared" si="2"/>
        <v>814401.21501638438</v>
      </c>
      <c r="Y9" s="28">
        <f t="shared" si="2"/>
        <v>814401.21501638438</v>
      </c>
      <c r="Z9" s="28">
        <f t="shared" si="2"/>
        <v>838833.25146687601</v>
      </c>
      <c r="AA9" s="28">
        <f t="shared" si="2"/>
        <v>838833.25146687601</v>
      </c>
      <c r="AB9" s="28">
        <f t="shared" si="2"/>
        <v>838833.25146687601</v>
      </c>
      <c r="AC9" s="28">
        <f t="shared" si="2"/>
        <v>889163.24655488855</v>
      </c>
      <c r="AD9" s="28">
        <f t="shared" si="2"/>
        <v>889163.24655488855</v>
      </c>
      <c r="AE9" s="28">
        <f t="shared" si="2"/>
        <v>889163.24655488855</v>
      </c>
    </row>
    <row r="10" spans="1:31" x14ac:dyDescent="0.25">
      <c r="A10" s="27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5"/>
    </row>
    <row r="11" spans="1:31" x14ac:dyDescent="0.25">
      <c r="A11" s="21" t="s">
        <v>45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19"/>
    </row>
    <row r="12" spans="1:31" x14ac:dyDescent="0.25">
      <c r="A12" s="18" t="s">
        <v>43</v>
      </c>
      <c r="B12" s="17">
        <f>B9/Assumptions!$G$16</f>
        <v>156757.97621818769</v>
      </c>
      <c r="C12" s="17">
        <f>C9/Assumptions!$G$16</f>
        <v>313515.95243637537</v>
      </c>
      <c r="D12" s="17">
        <f>D9/Assumptions!$G$16</f>
        <v>627031.90487275075</v>
      </c>
      <c r="E12" s="17">
        <f>E9/Assumptions!$G$16</f>
        <v>1022615.0588483654</v>
      </c>
      <c r="F12" s="17">
        <f>F9/Assumptions!$G$16</f>
        <v>1022615.0588483654</v>
      </c>
      <c r="G12" s="17">
        <f>G9/Assumptions!$G$16</f>
        <v>1022615.0588483654</v>
      </c>
      <c r="H12" s="17">
        <f>H9/Assumptions!$G$16</f>
        <v>1053293.5106138166</v>
      </c>
      <c r="I12" s="17">
        <f>I9/Assumptions!$G$16</f>
        <v>1053293.5106138166</v>
      </c>
      <c r="J12" s="17">
        <f>J9/Assumptions!$G$16</f>
        <v>1053293.5106138166</v>
      </c>
      <c r="K12" s="17">
        <f>K9/Assumptions!$G$16</f>
        <v>1116491.1212506453</v>
      </c>
      <c r="L12" s="17">
        <f>L9/Assumptions!$G$16</f>
        <v>1052546.817661155</v>
      </c>
      <c r="M12" s="17">
        <f>M9/Assumptions!$G$16</f>
        <v>1052546.817661155</v>
      </c>
      <c r="N12" s="17">
        <f>N9/Assumptions!$G$16</f>
        <v>1084123.2221909896</v>
      </c>
      <c r="O12" s="17">
        <f>O9/Assumptions!$G$16</f>
        <v>1084123.2221909896</v>
      </c>
      <c r="P12" s="17">
        <f>P9/Assumptions!$G$16</f>
        <v>1084123.2221909896</v>
      </c>
      <c r="Q12" s="17">
        <f>Q9/Assumptions!$G$16</f>
        <v>1149170.6155224491</v>
      </c>
      <c r="R12" s="17">
        <f>R9/Assumptions!$G$16</f>
        <v>1149170.6155224491</v>
      </c>
      <c r="S12" s="17">
        <f>S9/Assumptions!$G$16</f>
        <v>841631.36531095149</v>
      </c>
      <c r="T12" s="17">
        <f>T9/Assumptions!$G$16</f>
        <v>698457.30275847716</v>
      </c>
      <c r="U12" s="17">
        <f>U9/Assumptions!$G$16</f>
        <v>698457.30275847716</v>
      </c>
      <c r="V12" s="17">
        <f>V9/Assumptions!$G$16</f>
        <v>698457.30275847716</v>
      </c>
      <c r="W12" s="17">
        <f>W9/Assumptions!$G$16</f>
        <v>740364.74092398572</v>
      </c>
      <c r="X12" s="17">
        <f>X9/Assumptions!$G$16</f>
        <v>740364.74092398572</v>
      </c>
      <c r="Y12" s="17">
        <f>Y9/Assumptions!$G$16</f>
        <v>740364.74092398572</v>
      </c>
      <c r="Z12" s="17">
        <f>Z9/Assumptions!$G$16</f>
        <v>762575.68315170542</v>
      </c>
      <c r="AA12" s="17">
        <f>AA9/Assumptions!$G$16</f>
        <v>762575.68315170542</v>
      </c>
      <c r="AB12" s="17">
        <f>AB9/Assumptions!$G$16</f>
        <v>762575.68315170542</v>
      </c>
      <c r="AC12" s="17">
        <f>AC9/Assumptions!$G$16</f>
        <v>808330.22414080775</v>
      </c>
      <c r="AD12" s="17">
        <f>AD9/Assumptions!$G$16</f>
        <v>808330.22414080775</v>
      </c>
      <c r="AE12" s="17">
        <f>AE9/Assumptions!$G$16</f>
        <v>808330.22414080775</v>
      </c>
    </row>
    <row r="13" spans="1:31" x14ac:dyDescent="0.25">
      <c r="A13" s="18" t="s">
        <v>44</v>
      </c>
      <c r="B13" s="17">
        <f t="shared" ref="B13:AE13" si="3">B9-B12</f>
        <v>15675.797621818783</v>
      </c>
      <c r="C13" s="17">
        <f t="shared" si="3"/>
        <v>31351.595243637566</v>
      </c>
      <c r="D13" s="17">
        <f t="shared" si="3"/>
        <v>62703.190487275133</v>
      </c>
      <c r="E13" s="17">
        <f t="shared" si="3"/>
        <v>102261.50588483666</v>
      </c>
      <c r="F13" s="17">
        <f t="shared" si="3"/>
        <v>102261.50588483666</v>
      </c>
      <c r="G13" s="17">
        <f t="shared" si="3"/>
        <v>102261.50588483666</v>
      </c>
      <c r="H13" s="17">
        <f t="shared" si="3"/>
        <v>105329.35106138163</v>
      </c>
      <c r="I13" s="17">
        <f t="shared" si="3"/>
        <v>105329.35106138163</v>
      </c>
      <c r="J13" s="17">
        <f t="shared" si="3"/>
        <v>105329.35106138163</v>
      </c>
      <c r="K13" s="17">
        <f t="shared" si="3"/>
        <v>111649.11212506471</v>
      </c>
      <c r="L13" s="17">
        <f t="shared" si="3"/>
        <v>105254.68176611559</v>
      </c>
      <c r="M13" s="17">
        <f t="shared" si="3"/>
        <v>105254.68176611559</v>
      </c>
      <c r="N13" s="17">
        <f t="shared" si="3"/>
        <v>108412.32221909915</v>
      </c>
      <c r="O13" s="17">
        <f t="shared" si="3"/>
        <v>108412.32221909915</v>
      </c>
      <c r="P13" s="17">
        <f t="shared" si="3"/>
        <v>108412.32221909915</v>
      </c>
      <c r="Q13" s="17">
        <f t="shared" si="3"/>
        <v>114917.06155224494</v>
      </c>
      <c r="R13" s="17">
        <f t="shared" si="3"/>
        <v>114917.06155224494</v>
      </c>
      <c r="S13" s="17">
        <f t="shared" si="3"/>
        <v>84163.136531095253</v>
      </c>
      <c r="T13" s="17">
        <f t="shared" si="3"/>
        <v>69845.730275847716</v>
      </c>
      <c r="U13" s="17">
        <f t="shared" si="3"/>
        <v>69845.730275847716</v>
      </c>
      <c r="V13" s="17">
        <f t="shared" si="3"/>
        <v>69845.730275847716</v>
      </c>
      <c r="W13" s="17">
        <f t="shared" si="3"/>
        <v>74036.474092398654</v>
      </c>
      <c r="X13" s="17">
        <f t="shared" si="3"/>
        <v>74036.474092398654</v>
      </c>
      <c r="Y13" s="17">
        <f t="shared" si="3"/>
        <v>74036.474092398654</v>
      </c>
      <c r="Z13" s="17">
        <f t="shared" si="3"/>
        <v>76257.568315170589</v>
      </c>
      <c r="AA13" s="17">
        <f t="shared" si="3"/>
        <v>76257.568315170589</v>
      </c>
      <c r="AB13" s="17">
        <f t="shared" si="3"/>
        <v>76257.568315170589</v>
      </c>
      <c r="AC13" s="17">
        <f t="shared" si="3"/>
        <v>80833.022414080799</v>
      </c>
      <c r="AD13" s="17">
        <f t="shared" si="3"/>
        <v>80833.022414080799</v>
      </c>
      <c r="AE13" s="17">
        <f t="shared" si="3"/>
        <v>80833.022414080799</v>
      </c>
    </row>
    <row r="14" spans="1:31" x14ac:dyDescent="0.25">
      <c r="A14" s="24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2"/>
    </row>
    <row r="15" spans="1:31" x14ac:dyDescent="0.25">
      <c r="A15" s="21" t="s">
        <v>22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19"/>
    </row>
    <row r="16" spans="1:31" x14ac:dyDescent="0.25">
      <c r="A16" s="18" t="s">
        <v>43</v>
      </c>
      <c r="B16" s="17">
        <f t="shared" ref="B16:AE16" si="4">B12</f>
        <v>156757.97621818769</v>
      </c>
      <c r="C16" s="17">
        <f t="shared" si="4"/>
        <v>313515.95243637537</v>
      </c>
      <c r="D16" s="17">
        <f t="shared" si="4"/>
        <v>627031.90487275075</v>
      </c>
      <c r="E16" s="17">
        <f t="shared" si="4"/>
        <v>1022615.0588483654</v>
      </c>
      <c r="F16" s="17">
        <f t="shared" si="4"/>
        <v>1022615.0588483654</v>
      </c>
      <c r="G16" s="17">
        <f t="shared" si="4"/>
        <v>1022615.0588483654</v>
      </c>
      <c r="H16" s="17">
        <f t="shared" si="4"/>
        <v>1053293.5106138166</v>
      </c>
      <c r="I16" s="17">
        <f t="shared" si="4"/>
        <v>1053293.5106138166</v>
      </c>
      <c r="J16" s="17">
        <f t="shared" si="4"/>
        <v>1053293.5106138166</v>
      </c>
      <c r="K16" s="17">
        <f t="shared" si="4"/>
        <v>1116491.1212506453</v>
      </c>
      <c r="L16" s="17">
        <f t="shared" si="4"/>
        <v>1052546.817661155</v>
      </c>
      <c r="M16" s="17">
        <f t="shared" si="4"/>
        <v>1052546.817661155</v>
      </c>
      <c r="N16" s="17">
        <f t="shared" si="4"/>
        <v>1084123.2221909896</v>
      </c>
      <c r="O16" s="17">
        <f t="shared" si="4"/>
        <v>1084123.2221909896</v>
      </c>
      <c r="P16" s="17">
        <f t="shared" si="4"/>
        <v>1084123.2221909896</v>
      </c>
      <c r="Q16" s="17">
        <f t="shared" si="4"/>
        <v>1149170.6155224491</v>
      </c>
      <c r="R16" s="17">
        <f t="shared" si="4"/>
        <v>1149170.6155224491</v>
      </c>
      <c r="S16" s="17">
        <f t="shared" si="4"/>
        <v>841631.36531095149</v>
      </c>
      <c r="T16" s="17">
        <f t="shared" si="4"/>
        <v>698457.30275847716</v>
      </c>
      <c r="U16" s="17">
        <f t="shared" si="4"/>
        <v>698457.30275847716</v>
      </c>
      <c r="V16" s="17">
        <f t="shared" si="4"/>
        <v>698457.30275847716</v>
      </c>
      <c r="W16" s="17">
        <f t="shared" si="4"/>
        <v>740364.74092398572</v>
      </c>
      <c r="X16" s="17">
        <f t="shared" si="4"/>
        <v>740364.74092398572</v>
      </c>
      <c r="Y16" s="17">
        <f t="shared" si="4"/>
        <v>740364.74092398572</v>
      </c>
      <c r="Z16" s="17">
        <f t="shared" si="4"/>
        <v>762575.68315170542</v>
      </c>
      <c r="AA16" s="17">
        <f t="shared" si="4"/>
        <v>762575.68315170542</v>
      </c>
      <c r="AB16" s="17">
        <f t="shared" si="4"/>
        <v>762575.68315170542</v>
      </c>
      <c r="AC16" s="17">
        <f t="shared" si="4"/>
        <v>808330.22414080775</v>
      </c>
      <c r="AD16" s="17">
        <f t="shared" si="4"/>
        <v>808330.22414080775</v>
      </c>
      <c r="AE16" s="17">
        <f t="shared" si="4"/>
        <v>808330.22414080775</v>
      </c>
    </row>
    <row r="17" spans="1:31" x14ac:dyDescent="0.25">
      <c r="A17" s="18" t="s">
        <v>16</v>
      </c>
      <c r="B17" s="17">
        <v>0</v>
      </c>
      <c r="C17" s="17">
        <v>0</v>
      </c>
      <c r="D17" s="17">
        <v>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/>
    </row>
    <row r="18" spans="1:31" x14ac:dyDescent="0.25">
      <c r="A18" s="21" t="s">
        <v>78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19"/>
    </row>
    <row r="19" spans="1:31" x14ac:dyDescent="0.25">
      <c r="A19" s="18" t="s">
        <v>68</v>
      </c>
      <c r="B19" s="17">
        <f t="shared" ref="B19:AE19" si="5">B13</f>
        <v>15675.797621818783</v>
      </c>
      <c r="C19" s="17">
        <f t="shared" si="5"/>
        <v>31351.595243637566</v>
      </c>
      <c r="D19" s="17">
        <f t="shared" si="5"/>
        <v>62703.190487275133</v>
      </c>
      <c r="E19" s="17">
        <f t="shared" si="5"/>
        <v>102261.50588483666</v>
      </c>
      <c r="F19" s="17">
        <f t="shared" si="5"/>
        <v>102261.50588483666</v>
      </c>
      <c r="G19" s="17">
        <f t="shared" si="5"/>
        <v>102261.50588483666</v>
      </c>
      <c r="H19" s="17">
        <f t="shared" si="5"/>
        <v>105329.35106138163</v>
      </c>
      <c r="I19" s="17">
        <f t="shared" si="5"/>
        <v>105329.35106138163</v>
      </c>
      <c r="J19" s="17">
        <f t="shared" si="5"/>
        <v>105329.35106138163</v>
      </c>
      <c r="K19" s="17">
        <f t="shared" si="5"/>
        <v>111649.11212506471</v>
      </c>
      <c r="L19" s="17">
        <f t="shared" si="5"/>
        <v>105254.68176611559</v>
      </c>
      <c r="M19" s="17">
        <f t="shared" si="5"/>
        <v>105254.68176611559</v>
      </c>
      <c r="N19" s="17">
        <f t="shared" si="5"/>
        <v>108412.32221909915</v>
      </c>
      <c r="O19" s="17">
        <f t="shared" si="5"/>
        <v>108412.32221909915</v>
      </c>
      <c r="P19" s="17">
        <f t="shared" si="5"/>
        <v>108412.32221909915</v>
      </c>
      <c r="Q19" s="17">
        <f t="shared" si="5"/>
        <v>114917.06155224494</v>
      </c>
      <c r="R19" s="17">
        <f t="shared" si="5"/>
        <v>114917.06155224494</v>
      </c>
      <c r="S19" s="17">
        <f t="shared" si="5"/>
        <v>84163.136531095253</v>
      </c>
      <c r="T19" s="17">
        <f t="shared" si="5"/>
        <v>69845.730275847716</v>
      </c>
      <c r="U19" s="17">
        <f t="shared" si="5"/>
        <v>69845.730275847716</v>
      </c>
      <c r="V19" s="17">
        <f t="shared" si="5"/>
        <v>69845.730275847716</v>
      </c>
      <c r="W19" s="17">
        <f t="shared" si="5"/>
        <v>74036.474092398654</v>
      </c>
      <c r="X19" s="17">
        <f t="shared" si="5"/>
        <v>74036.474092398654</v>
      </c>
      <c r="Y19" s="17">
        <f t="shared" si="5"/>
        <v>74036.474092398654</v>
      </c>
      <c r="Z19" s="17">
        <f t="shared" si="5"/>
        <v>76257.568315170589</v>
      </c>
      <c r="AA19" s="17">
        <f t="shared" si="5"/>
        <v>76257.568315170589</v>
      </c>
      <c r="AB19" s="17">
        <f t="shared" si="5"/>
        <v>76257.568315170589</v>
      </c>
      <c r="AC19" s="17">
        <f t="shared" si="5"/>
        <v>80833.022414080799</v>
      </c>
      <c r="AD19" s="17">
        <f t="shared" si="5"/>
        <v>80833.022414080799</v>
      </c>
      <c r="AE19" s="17">
        <f t="shared" si="5"/>
        <v>80833.022414080799</v>
      </c>
    </row>
  </sheetData>
  <printOptions horizontalCentered="1"/>
  <pageMargins left="0.7" right="0.7" top="0.75" bottom="0.75" header="0.3" footer="0.3"/>
  <pageSetup paperSize="17" scale="56" orientation="landscape" r:id="rId1"/>
  <headerFooter>
    <oddHeader>&amp;C&amp;"-,Bold"&amp;12Quarry Trails
&amp;A</oddHeader>
    <oddFooter>&amp;L&amp;D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100</vt:i4>
      </vt:variant>
    </vt:vector>
  </HeadingPairs>
  <TitlesOfParts>
    <vt:vector size="103" baseType="lpstr">
      <vt:lpstr>Assumptions</vt:lpstr>
      <vt:lpstr>Calculations</vt:lpstr>
      <vt:lpstr>Revenue Summary</vt:lpstr>
      <vt:lpstr>Apartments_Abatement</vt:lpstr>
      <vt:lpstr>Apartments_Abatement_A</vt:lpstr>
      <vt:lpstr>Apartments_Base_Val</vt:lpstr>
      <vt:lpstr>Apartments_CDC</vt:lpstr>
      <vt:lpstr>Apartments_CDC_A</vt:lpstr>
      <vt:lpstr>Apartments_Impvt_Val</vt:lpstr>
      <vt:lpstr>Apartments_Land_Growth</vt:lpstr>
      <vt:lpstr>Apartments_Non_abated</vt:lpstr>
      <vt:lpstr>Apartments_Non_abated_A</vt:lpstr>
      <vt:lpstr>Apartments_Retained</vt:lpstr>
      <vt:lpstr>Apartments_Retained_A</vt:lpstr>
      <vt:lpstr>Apartments_Term</vt:lpstr>
      <vt:lpstr>Apartments_Term_A</vt:lpstr>
      <vt:lpstr>Condos_Base_Val</vt:lpstr>
      <vt:lpstr>Condos_Impvt_Val</vt:lpstr>
      <vt:lpstr>Condos_Land_Growth</vt:lpstr>
      <vt:lpstr>Full_Comm_Rate_A</vt:lpstr>
      <vt:lpstr>Full_Comm_Rate_B</vt:lpstr>
      <vt:lpstr>Full_Res_Rate_A</vt:lpstr>
      <vt:lpstr>Full_Res_Rate_B</vt:lpstr>
      <vt:lpstr>Hilliard_Abatement</vt:lpstr>
      <vt:lpstr>Hilliard_Abatement_C</vt:lpstr>
      <vt:lpstr>Hilliard_Abatement_R</vt:lpstr>
      <vt:lpstr>Hilliard_Rates</vt:lpstr>
      <vt:lpstr>Hotel_Abatement</vt:lpstr>
      <vt:lpstr>Hotel_Abatement_A</vt:lpstr>
      <vt:lpstr>Hotel_CDC</vt:lpstr>
      <vt:lpstr>Hotel_CDC_A</vt:lpstr>
      <vt:lpstr>Hotel_Non_abated</vt:lpstr>
      <vt:lpstr>Hotel_Non_abated_A</vt:lpstr>
      <vt:lpstr>Hotel_Retained</vt:lpstr>
      <vt:lpstr>Hotel_Retained_A</vt:lpstr>
      <vt:lpstr>Hotel_Term</vt:lpstr>
      <vt:lpstr>Hotel_Term_A</vt:lpstr>
      <vt:lpstr>Land_Growth_Abatement</vt:lpstr>
      <vt:lpstr>Land_Growth_Abatement_A</vt:lpstr>
      <vt:lpstr>Land_Growth_CDC</vt:lpstr>
      <vt:lpstr>Land_Growth_CDC_A</vt:lpstr>
      <vt:lpstr>Land_Growth_Non_abated</vt:lpstr>
      <vt:lpstr>Land_Growth_Non_abated_A</vt:lpstr>
      <vt:lpstr>Land_Growth_Retained</vt:lpstr>
      <vt:lpstr>Land_Growth_Retained_A</vt:lpstr>
      <vt:lpstr>Land_Growth_Term</vt:lpstr>
      <vt:lpstr>Land_Growth_Term_A</vt:lpstr>
      <vt:lpstr>Non_School_Comm_Rate_A</vt:lpstr>
      <vt:lpstr>Non_School_Comm_Rate_B</vt:lpstr>
      <vt:lpstr>Non_School_Res_Rate_A</vt:lpstr>
      <vt:lpstr>Non_School_Res_Rate_B</vt:lpstr>
      <vt:lpstr>Office_Abatement</vt:lpstr>
      <vt:lpstr>Office_Abatement_A</vt:lpstr>
      <vt:lpstr>Office_Base_Val</vt:lpstr>
      <vt:lpstr>Office_CDC</vt:lpstr>
      <vt:lpstr>Office_CDC_A</vt:lpstr>
      <vt:lpstr>Office_Impvt_Val</vt:lpstr>
      <vt:lpstr>Office_Land_Growth</vt:lpstr>
      <vt:lpstr>Office_Non_abated</vt:lpstr>
      <vt:lpstr>Office_Non_abated_A</vt:lpstr>
      <vt:lpstr>Office_Retained</vt:lpstr>
      <vt:lpstr>Office_Retained_A</vt:lpstr>
      <vt:lpstr>Office_Term</vt:lpstr>
      <vt:lpstr>Office_Term_A</vt:lpstr>
      <vt:lpstr>Assumptions!Print_Area</vt:lpstr>
      <vt:lpstr>Calculations!Print_Area</vt:lpstr>
      <vt:lpstr>Residential_Abatement</vt:lpstr>
      <vt:lpstr>Residential_Abatement_A</vt:lpstr>
      <vt:lpstr>Residential_Base_Val</vt:lpstr>
      <vt:lpstr>Residential_CDC</vt:lpstr>
      <vt:lpstr>Residential_CDC_A</vt:lpstr>
      <vt:lpstr>Residential_Impvt_Val</vt:lpstr>
      <vt:lpstr>Residential_Land_Growth</vt:lpstr>
      <vt:lpstr>Residential_Non_abated</vt:lpstr>
      <vt:lpstr>Residential_Non_abated_A</vt:lpstr>
      <vt:lpstr>Residential_Retained</vt:lpstr>
      <vt:lpstr>Residential_Retained_A</vt:lpstr>
      <vt:lpstr>Residential_Term</vt:lpstr>
      <vt:lpstr>Residential_Term_A</vt:lpstr>
      <vt:lpstr>Retail_Abatement</vt:lpstr>
      <vt:lpstr>Retail_Abatement_A</vt:lpstr>
      <vt:lpstr>Retail_CDC</vt:lpstr>
      <vt:lpstr>Retail_CDC_A</vt:lpstr>
      <vt:lpstr>Retail_Non_abated</vt:lpstr>
      <vt:lpstr>Retail_Non_abated_A</vt:lpstr>
      <vt:lpstr>Retail_Retained</vt:lpstr>
      <vt:lpstr>Retail_Retained_A</vt:lpstr>
      <vt:lpstr>Retail_Term</vt:lpstr>
      <vt:lpstr>Retail_Term_A</vt:lpstr>
      <vt:lpstr>School_Comm_Rate_A</vt:lpstr>
      <vt:lpstr>School_Comm_Rate_B</vt:lpstr>
      <vt:lpstr>School_Res_Rate_A</vt:lpstr>
      <vt:lpstr>School_Res_Rate_B</vt:lpstr>
      <vt:lpstr>Senior_Apartments_Abatement</vt:lpstr>
      <vt:lpstr>Senior_Apartments_Abatement_A</vt:lpstr>
      <vt:lpstr>Senior_Apartments_CDC</vt:lpstr>
      <vt:lpstr>Senior_Apartments_CDC_A</vt:lpstr>
      <vt:lpstr>Senior_Apartments_Non_abated</vt:lpstr>
      <vt:lpstr>Senior_Apartments_Non_abated_A</vt:lpstr>
      <vt:lpstr>Senior_Apartments_Retained</vt:lpstr>
      <vt:lpstr>Senior_Apartments_Retained_A</vt:lpstr>
      <vt:lpstr>Senior_Apartments_Term</vt:lpstr>
      <vt:lpstr>Senior_Apartments_Term_A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Casto</dc:creator>
  <cp:lastModifiedBy>Eric Casto</cp:lastModifiedBy>
  <cp:lastPrinted>2020-11-10T21:41:35Z</cp:lastPrinted>
  <dcterms:created xsi:type="dcterms:W3CDTF">2020-09-08T14:25:48Z</dcterms:created>
  <dcterms:modified xsi:type="dcterms:W3CDTF">2025-11-16T19:25:53Z</dcterms:modified>
</cp:coreProperties>
</file>